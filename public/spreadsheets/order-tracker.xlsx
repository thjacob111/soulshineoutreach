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as\Documents\AgentX\Magnum Opus\Software\Sales Funnel\Soul Shine Sales\Holistic Services\Home Utiltities\Telecomminucations\My Telecom Contracting\"/>
    </mc:Choice>
  </mc:AlternateContent>
  <xr:revisionPtr revIDLastSave="0" documentId="13_ncr:1_{E0AC0B12-585F-47B8-8DD5-FBFE3734E5D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Order Tracker" sheetId="1" r:id="rId1"/>
    <sheet name="Lookup" sheetId="2" state="hidden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22" i="1" l="1"/>
  <c r="Z21" i="1"/>
  <c r="AA21" i="1" s="1"/>
  <c r="Z20" i="1"/>
  <c r="Z19" i="1"/>
  <c r="Z18" i="1"/>
  <c r="Z17" i="1"/>
  <c r="AA17" i="1" s="1"/>
  <c r="Z16" i="1"/>
  <c r="Z15" i="1"/>
  <c r="Z14" i="1"/>
  <c r="Z13" i="1"/>
  <c r="AA13" i="1" s="1"/>
  <c r="Z12" i="1"/>
  <c r="Z11" i="1"/>
  <c r="Z10" i="1"/>
  <c r="Z9" i="1"/>
  <c r="AA9" i="1" s="1"/>
  <c r="Z8" i="1"/>
  <c r="Z7" i="1"/>
  <c r="Z6" i="1"/>
  <c r="Z5" i="1"/>
  <c r="AA5" i="1" s="1"/>
  <c r="Z4" i="1"/>
  <c r="Z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3" i="1"/>
  <c r="L4" i="1"/>
  <c r="L5" i="1"/>
  <c r="L6" i="1"/>
  <c r="L7" i="1"/>
  <c r="AA7" i="1" s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  <c r="H4" i="1"/>
  <c r="AA4" i="1" s="1"/>
  <c r="H5" i="1"/>
  <c r="H6" i="1"/>
  <c r="AA6" i="1" s="1"/>
  <c r="H7" i="1"/>
  <c r="H8" i="1"/>
  <c r="AA8" i="1" s="1"/>
  <c r="H9" i="1"/>
  <c r="H10" i="1"/>
  <c r="AA10" i="1" s="1"/>
  <c r="H11" i="1"/>
  <c r="AA11" i="1" s="1"/>
  <c r="H12" i="1"/>
  <c r="AA12" i="1" s="1"/>
  <c r="H13" i="1"/>
  <c r="H14" i="1"/>
  <c r="AA14" i="1" s="1"/>
  <c r="H15" i="1"/>
  <c r="AA15" i="1" s="1"/>
  <c r="H16" i="1"/>
  <c r="AA16" i="1" s="1"/>
  <c r="H17" i="1"/>
  <c r="H18" i="1"/>
  <c r="AA18" i="1" s="1"/>
  <c r="H19" i="1"/>
  <c r="AA19" i="1" s="1"/>
  <c r="H20" i="1"/>
  <c r="AA20" i="1" s="1"/>
  <c r="H21" i="1"/>
  <c r="H22" i="1"/>
  <c r="AA22" i="1" s="1"/>
  <c r="H3" i="1"/>
  <c r="AA3" i="1" s="1"/>
  <c r="AD14" i="1" l="1"/>
  <c r="AC14" i="1"/>
  <c r="AD20" i="1"/>
  <c r="AC20" i="1"/>
  <c r="AD11" i="1"/>
  <c r="AC11" i="1"/>
  <c r="AD7" i="1"/>
  <c r="AC7" i="1"/>
  <c r="AD16" i="1"/>
  <c r="AC16" i="1"/>
  <c r="AD15" i="1"/>
  <c r="AC15" i="1"/>
  <c r="AD6" i="1"/>
  <c r="AC6" i="1"/>
  <c r="AD9" i="1"/>
  <c r="AC9" i="1"/>
  <c r="AD4" i="1"/>
  <c r="AC4" i="1"/>
  <c r="AD19" i="1"/>
  <c r="AC19" i="1"/>
  <c r="AD18" i="1"/>
  <c r="AC18" i="1"/>
  <c r="AD10" i="1"/>
  <c r="AC10" i="1"/>
  <c r="AD8" i="1"/>
  <c r="AC8" i="1"/>
  <c r="AD3" i="1"/>
  <c r="AC3" i="1"/>
  <c r="AD22" i="1"/>
  <c r="AC22" i="1"/>
  <c r="AD17" i="1"/>
  <c r="AC17" i="1"/>
  <c r="AD12" i="1"/>
  <c r="AC12" i="1"/>
  <c r="AD5" i="1"/>
  <c r="AC5" i="1"/>
  <c r="AD13" i="1"/>
  <c r="AC13" i="1"/>
  <c r="AD21" i="1"/>
  <c r="AC21" i="1"/>
</calcChain>
</file>

<file path=xl/sharedStrings.xml><?xml version="1.0" encoding="utf-8"?>
<sst xmlns="http://schemas.openxmlformats.org/spreadsheetml/2006/main" count="76" uniqueCount="40">
  <si>
    <t>CUSTOMER</t>
  </si>
  <si>
    <t>LINE 1</t>
  </si>
  <si>
    <t>LINE 2</t>
  </si>
  <si>
    <t>LINE 3</t>
  </si>
  <si>
    <t>LINE 4</t>
  </si>
  <si>
    <t>LINE 5</t>
  </si>
  <si>
    <t>INTERNET</t>
  </si>
  <si>
    <t>COMMISSION</t>
  </si>
  <si>
    <t>NOTES</t>
  </si>
  <si>
    <t>Customer Name</t>
  </si>
  <si>
    <t>Order #</t>
  </si>
  <si>
    <t>Order Date</t>
  </si>
  <si>
    <t>Activation Status</t>
  </si>
  <si>
    <t>Plan</t>
  </si>
  <si>
    <t>Line Comm.</t>
  </si>
  <si>
    <t>Total Comm.</t>
  </si>
  <si>
    <t>Split %</t>
  </si>
  <si>
    <t>Thomas</t>
  </si>
  <si>
    <t>Mario</t>
  </si>
  <si>
    <t>Notes</t>
  </si>
  <si>
    <t>Commission</t>
  </si>
  <si>
    <t>Extra</t>
  </si>
  <si>
    <t>Premium</t>
  </si>
  <si>
    <t>Value</t>
  </si>
  <si>
    <t>Senior</t>
  </si>
  <si>
    <t>Pending</t>
  </si>
  <si>
    <t>Activated</t>
  </si>
  <si>
    <t>Next Up Bonus</t>
  </si>
  <si>
    <t>Internet</t>
  </si>
  <si>
    <t>100 Mbps</t>
  </si>
  <si>
    <t>300 Mbps</t>
  </si>
  <si>
    <t>500 Mbps</t>
  </si>
  <si>
    <t>1Gb</t>
  </si>
  <si>
    <t>Plan Options (Full)</t>
  </si>
  <si>
    <t>Senior Only</t>
  </si>
  <si>
    <t>No Senior</t>
  </si>
  <si>
    <t>NU</t>
  </si>
  <si>
    <t>I</t>
  </si>
  <si>
    <t>Insurance Bonus</t>
  </si>
  <si>
    <t>Internet Comm.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</si>
</sst>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"/>
    <numFmt numFmtId="167" formatCode="&quot;$&quot;#,##0;\(&quot;$&quot;#,##0\);\-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2E7D32"/>
      <name val="Arial"/>
      <charset val="1"/>
    </font>
    <font>
      <b/>
      <sz val="10"/>
      <color rgb="FF1F4E79"/>
      <name val="Arial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FFFFF"/>
      <name val="Arial"/>
    </font>
    <font>
      <b/>
      <sz val="9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6B75"/>
      </patternFill>
    </fill>
    <fill>
      <patternFill patternType="solid">
        <fgColor rgb="FF2E75B6"/>
        <bgColor rgb="FF1F6B75"/>
      </patternFill>
    </fill>
    <fill>
      <patternFill patternType="solid">
        <fgColor rgb="FF1F6B75"/>
        <bgColor rgb="FF1F4E79"/>
      </patternFill>
    </fill>
    <fill>
      <patternFill patternType="solid">
        <fgColor rgb="FF375623"/>
        <bgColor rgb="FF555555"/>
      </patternFill>
    </fill>
    <fill>
      <patternFill patternType="solid">
        <fgColor rgb="FF555555"/>
        <bgColor rgb="FF37562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1F6B7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9" fontId="3" fillId="9" borderId="2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12" borderId="0" xfId="0" applyFont="1" applyFill="1"/>
    <xf numFmtId="166" fontId="0" fillId="0" borderId="0" xfId="0" applyNumberFormat="1"/>
    <xf numFmtId="167" fontId="4" fillId="10" borderId="2" xfId="0" applyNumberFormat="1" applyFont="1" applyFill="1" applyBorder="1" applyAlignment="1">
      <alignment horizontal="center" vertical="center" wrapText="1"/>
    </xf>
    <xf numFmtId="167" fontId="3" fillId="7" borderId="2" xfId="0" applyNumberFormat="1" applyFont="1" applyFill="1" applyBorder="1" applyAlignment="1">
      <alignment horizontal="center" vertical="center" wrapText="1"/>
    </xf>
    <xf numFmtId="167" fontId="3" fillId="11" borderId="2" xfId="0" applyNumberFormat="1" applyFont="1" applyFill="1" applyBorder="1" applyAlignment="1">
      <alignment horizontal="center" vertical="center" wrapText="1"/>
    </xf>
    <xf numFmtId="167" fontId="5" fillId="9" borderId="2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12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167" fontId="3" fillId="7" borderId="2" xfId="0" applyNumberFormat="1" applyFont="1" applyFill="1" applyBorder="1" applyAlignment="1">
      <alignment horizontal="left" vertical="center" wrapText="1"/>
    </xf>
    <xf numFmtId="167" fontId="3" fillId="11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159F55-9E32-4233-98A8-22AE2436834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e29ff0b-37f1-49eb-b19a-bd7f76730d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0" sqref="M10"/>
    </sheetView>
  </sheetViews>
  <sheetFormatPr defaultColWidth="8.6640625" defaultRowHeight="14.4" x14ac:dyDescent="0.3"/>
  <cols>
    <col min="1" max="1" width="14.88671875" customWidth="1"/>
    <col min="2" max="2" width="10.33203125" customWidth="1"/>
    <col min="3" max="3" width="9.77734375" customWidth="1"/>
    <col min="4" max="4" width="15.6640625" customWidth="1"/>
    <col min="5" max="5" width="14" customWidth="1"/>
    <col min="6" max="7" width="4" customWidth="1"/>
    <col min="8" max="8" width="11" customWidth="1"/>
    <col min="9" max="9" width="14" customWidth="1"/>
    <col min="10" max="11" width="4" customWidth="1"/>
    <col min="12" max="12" width="11" customWidth="1"/>
    <col min="13" max="13" width="14" customWidth="1"/>
    <col min="14" max="15" width="4" customWidth="1"/>
    <col min="16" max="16" width="11" customWidth="1"/>
    <col min="17" max="17" width="14" customWidth="1"/>
    <col min="18" max="19" width="4" customWidth="1"/>
    <col min="20" max="20" width="11" customWidth="1"/>
    <col min="21" max="21" width="14" customWidth="1"/>
    <col min="22" max="23" width="4" customWidth="1"/>
    <col min="24" max="24" width="11" customWidth="1"/>
    <col min="25" max="26" width="14" customWidth="1"/>
    <col min="27" max="27" width="13" customWidth="1"/>
    <col min="28" max="28" width="9" customWidth="1"/>
    <col min="29" max="30" width="12" customWidth="1"/>
    <col min="31" max="31" width="30" customWidth="1"/>
  </cols>
  <sheetData>
    <row r="1" spans="1:31" ht="18" customHeight="1" x14ac:dyDescent="0.3">
      <c r="A1" s="3" t="s">
        <v>0</v>
      </c>
      <c r="B1" s="3"/>
      <c r="C1" s="3"/>
      <c r="D1" s="3"/>
      <c r="E1" s="2" t="s">
        <v>1</v>
      </c>
      <c r="F1" s="2"/>
      <c r="G1" s="2"/>
      <c r="H1" s="2"/>
      <c r="I1" s="2" t="s">
        <v>2</v>
      </c>
      <c r="J1" s="2"/>
      <c r="K1" s="2"/>
      <c r="L1" s="2"/>
      <c r="M1" s="2" t="s">
        <v>3</v>
      </c>
      <c r="N1" s="2"/>
      <c r="O1" s="2"/>
      <c r="P1" s="2"/>
      <c r="Q1" s="2" t="s">
        <v>4</v>
      </c>
      <c r="R1" s="2"/>
      <c r="S1" s="2"/>
      <c r="T1" s="2"/>
      <c r="U1" s="2" t="s">
        <v>5</v>
      </c>
      <c r="V1" s="2"/>
      <c r="W1" s="2"/>
      <c r="X1" s="2"/>
      <c r="Y1" s="24" t="s">
        <v>6</v>
      </c>
      <c r="Z1" s="24"/>
      <c r="AA1" s="1" t="s">
        <v>7</v>
      </c>
      <c r="AB1" s="1"/>
      <c r="AC1" s="1"/>
      <c r="AD1" s="1"/>
      <c r="AE1" s="4" t="s">
        <v>8</v>
      </c>
    </row>
    <row r="2" spans="1:31" ht="27.75" customHeight="1" x14ac:dyDescent="0.3">
      <c r="A2" s="5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6" t="s">
        <v>36</v>
      </c>
      <c r="G2" s="6" t="s">
        <v>37</v>
      </c>
      <c r="H2" s="6" t="s">
        <v>14</v>
      </c>
      <c r="I2" s="6" t="s">
        <v>13</v>
      </c>
      <c r="J2" s="6" t="s">
        <v>36</v>
      </c>
      <c r="K2" s="6" t="s">
        <v>37</v>
      </c>
      <c r="L2" s="6" t="s">
        <v>14</v>
      </c>
      <c r="M2" s="6" t="s">
        <v>13</v>
      </c>
      <c r="N2" s="6" t="s">
        <v>36</v>
      </c>
      <c r="O2" s="6" t="s">
        <v>37</v>
      </c>
      <c r="P2" s="6" t="s">
        <v>14</v>
      </c>
      <c r="Q2" s="6" t="s">
        <v>13</v>
      </c>
      <c r="R2" s="6" t="s">
        <v>36</v>
      </c>
      <c r="S2" s="6" t="s">
        <v>37</v>
      </c>
      <c r="T2" s="6" t="s">
        <v>14</v>
      </c>
      <c r="U2" s="6" t="s">
        <v>13</v>
      </c>
      <c r="V2" s="6" t="s">
        <v>36</v>
      </c>
      <c r="W2" s="6" t="s">
        <v>37</v>
      </c>
      <c r="X2" s="6" t="s">
        <v>14</v>
      </c>
      <c r="Y2" s="7" t="s">
        <v>13</v>
      </c>
      <c r="Z2" s="25" t="s">
        <v>39</v>
      </c>
      <c r="AA2" s="8" t="s">
        <v>15</v>
      </c>
      <c r="AB2" s="8" t="s">
        <v>16</v>
      </c>
      <c r="AC2" s="8" t="s">
        <v>17</v>
      </c>
      <c r="AD2" s="8" t="s">
        <v>18</v>
      </c>
      <c r="AE2" s="9" t="s">
        <v>19</v>
      </c>
    </row>
    <row r="3" spans="1:31" ht="18" customHeight="1" x14ac:dyDescent="0.3">
      <c r="A3" s="10"/>
      <c r="B3" s="10"/>
      <c r="C3" s="10"/>
      <c r="D3" s="11" t="s">
        <v>25</v>
      </c>
      <c r="E3" s="12" t="s">
        <v>21</v>
      </c>
      <c r="F3" s="16" t="b">
        <v>1</v>
      </c>
      <c r="G3" s="16" t="b">
        <v>1</v>
      </c>
      <c r="H3" s="19">
        <f>IF(E3="","",IF(E3="",0,IF((COUNTIF($E3,"Senior")+COUNTIF($I3,"Senior")+COUNTIF($M3,"Senior")+COUNTIF($Q3,"Senior")+COUNTIF($U3,"Senior"))&gt;0,Lookup!$B$5,IF(E3="Value",IF(AND(COUNTA($E3,$I3,$M3,$Q3,$U3)&gt;=2,(COUNTIF($E3,"Extra")+COUNTIF($I3,"Extra")+COUNTIF($M3,"Extra")+COUNTIF($Q3,"Extra")+COUNTIF($U3,"Extra")+COUNTIF($E3,"Premium")+COUNTIF($I3,"Premium")+COUNTIF($M3,"Premium")+COUNTIF($Q3,"Premium")+COUNTIF($U3,"Premium"))&gt;0),Lookup!$B$4,0),IFERROR(VLOOKUP(E3,Lookup!$A$2:$B$5,2,FALSE),0))))+IF(AND(F3=TRUE,NOT((COUNTIF($E3,"Senior")+COUNTIF($I3,"Senior")+COUNTIF($M3,"Senior")+COUNTIF($Q3,"Senior")+COUNTIF($U3,"Senior"))&gt;0)),Lookup!$B$6,0)+IF(G3=TRUE,Lookup!$B$7,0))</f>
        <v>112</v>
      </c>
      <c r="I3" s="12" t="s">
        <v>22</v>
      </c>
      <c r="J3" s="16" t="b">
        <v>1</v>
      </c>
      <c r="K3" s="16" t="b">
        <v>0</v>
      </c>
      <c r="L3" s="19">
        <f>IF(I3="","",IF(I3="",0,IF((COUNTIF($E3,"Senior")+COUNTIF($I3,"Senior")+COUNTIF($M3,"Senior")+COUNTIF($Q3,"Senior")+COUNTIF($U3,"Senior"))&gt;0,Lookup!$B$5,IF(I3="Value",IF(AND(COUNTA($E3,$I3,$M3,$Q3,$U3)&gt;=2,(COUNTIF($E3,"Extra")+COUNTIF($I3,"Extra")+COUNTIF($M3,"Extra")+COUNTIF($Q3,"Extra")+COUNTIF($U3,"Extra")+COUNTIF($E3,"Premium")+COUNTIF($I3,"Premium")+COUNTIF($M3,"Premium")+COUNTIF($Q3,"Premium")+COUNTIF($U3,"Premium"))&gt;0),Lookup!$B$4,0),IFERROR(VLOOKUP(I3,Lookup!$A$2:$B$5,2,FALSE),0))))+IF(AND(J3=TRUE,NOT((COUNTIF($E3,"Senior")+COUNTIF($I3,"Senior")+COUNTIF($M3,"Senior")+COUNTIF($Q3,"Senior")+COUNTIF($U3,"Senior"))&gt;0)),Lookup!$B$6,0)+IF(K3=TRUE,Lookup!$B$7,0))</f>
        <v>115</v>
      </c>
      <c r="M3" s="12"/>
      <c r="N3" s="16" t="b">
        <v>0</v>
      </c>
      <c r="O3" s="16" t="b">
        <v>0</v>
      </c>
      <c r="P3" s="19" t="str">
        <f>IF(M3="","",IF(M3="",0,IF((COUNTIF($E3,"Senior")+COUNTIF($I3,"Senior")+COUNTIF($M3,"Senior")+COUNTIF($Q3,"Senior")+COUNTIF($U3,"Senior"))&gt;0,Lookup!$B$5,IF(M3="Value",IF(AND(COUNTA($E3,$I3,$M3,$Q3,$U3)&gt;=2,(COUNTIF($E3,"Extra")+COUNTIF($I3,"Extra")+COUNTIF($M3,"Extra")+COUNTIF($Q3,"Extra")+COUNTIF($U3,"Extra")+COUNTIF($E3,"Premium")+COUNTIF($I3,"Premium")+COUNTIF($M3,"Premium")+COUNTIF($Q3,"Premium")+COUNTIF($U3,"Premium"))&gt;0),Lookup!$B$4,0),IFERROR(VLOOKUP(M3,Lookup!$A$2:$B$5,2,FALSE),0))))+IF(AND(N3=TRUE,NOT((COUNTIF($E3,"Senior")+COUNTIF($I3,"Senior")+COUNTIF($M3,"Senior")+COUNTIF($Q3,"Senior")+COUNTIF($U3,"Senior"))&gt;0)),Lookup!$B$6,0)+IF(O3=TRUE,Lookup!$B$7,0))</f>
        <v/>
      </c>
      <c r="Q3" s="12"/>
      <c r="R3" s="16" t="b">
        <v>0</v>
      </c>
      <c r="S3" s="16" t="b">
        <v>0</v>
      </c>
      <c r="T3" s="19" t="str">
        <f>IF(Q3="","",IF(Q3="",0,IF((COUNTIF($E3,"Senior")+COUNTIF($I3,"Senior")+COUNTIF($M3,"Senior")+COUNTIF($Q3,"Senior")+COUNTIF($U3,"Senior"))&gt;0,Lookup!$B$5,IF(Q3="Value",IF(AND(COUNTA($E3,$I3,$M3,$Q3,$U3)&gt;=2,(COUNTIF($E3,"Extra")+COUNTIF($I3,"Extra")+COUNTIF($M3,"Extra")+COUNTIF($Q3,"Extra")+COUNTIF($U3,"Extra")+COUNTIF($E3,"Premium")+COUNTIF($I3,"Premium")+COUNTIF($M3,"Premium")+COUNTIF($Q3,"Premium")+COUNTIF($U3,"Premium"))&gt;0),Lookup!$B$4,0),IFERROR(VLOOKUP(Q3,Lookup!$A$2:$B$5,2,FALSE),0))))+IF(AND(R3=TRUE,NOT((COUNTIF($E3,"Senior")+COUNTIF($I3,"Senior")+COUNTIF($M3,"Senior")+COUNTIF($Q3,"Senior")+COUNTIF($U3,"Senior"))&gt;0)),Lookup!$B$6,0)+IF(S3=TRUE,Lookup!$B$7,0))</f>
        <v/>
      </c>
      <c r="U3" s="12"/>
      <c r="V3" s="16" t="b">
        <v>0</v>
      </c>
      <c r="W3" s="16" t="b">
        <v>0</v>
      </c>
      <c r="X3" s="19" t="str">
        <f>IF(U3="","",IF(U3="",0,IF((COUNTIF($E3,"Senior")+COUNTIF($I3,"Senior")+COUNTIF($M3,"Senior")+COUNTIF($Q3,"Senior")+COUNTIF($U3,"Senior"))&gt;0,Lookup!$B$5,IF(U3="Value",IF(AND(COUNTA($E3,$I3,$M3,$Q3,$U3)&gt;=2,(COUNTIF($E3,"Extra")+COUNTIF($I3,"Extra")+COUNTIF($M3,"Extra")+COUNTIF($Q3,"Extra")+COUNTIF($U3,"Extra")+COUNTIF($E3,"Premium")+COUNTIF($I3,"Premium")+COUNTIF($M3,"Premium")+COUNTIF($Q3,"Premium")+COUNTIF($U3,"Premium"))&gt;0),Lookup!$B$4,0),IFERROR(VLOOKUP(U3,Lookup!$A$2:$B$5,2,FALSE),0))))+IF(AND(V3=TRUE,NOT((COUNTIF($E3,"Senior")+COUNTIF($I3,"Senior")+COUNTIF($M3,"Senior")+COUNTIF($Q3,"Senior")+COUNTIF($U3,"Senior"))&gt;0)),Lookup!$B$6,0)+IF(W3=TRUE,Lookup!$B$7,0))</f>
        <v/>
      </c>
      <c r="Y3" s="10" t="s">
        <v>32</v>
      </c>
      <c r="Z3" s="26">
        <f>IFERROR(VLOOKUP(Y3,Lookup!$A$9:$B$12,2,FALSE),0)</f>
        <v>165</v>
      </c>
      <c r="AA3" s="20">
        <f>SUM(H3,L3,P3,T3,X3,Z3)</f>
        <v>392</v>
      </c>
      <c r="AB3" s="13">
        <v>0.7</v>
      </c>
      <c r="AC3" s="19">
        <f>IFERROR(AA3*AB3,0)</f>
        <v>274.39999999999998</v>
      </c>
      <c r="AD3" s="22">
        <f>IFERROR(AA3*(1-AB3),0)</f>
        <v>117.60000000000002</v>
      </c>
      <c r="AE3" s="10"/>
    </row>
    <row r="4" spans="1:31" ht="18" customHeight="1" x14ac:dyDescent="0.3">
      <c r="A4" s="14"/>
      <c r="B4" s="14"/>
      <c r="C4" s="14"/>
      <c r="D4" s="11" t="s">
        <v>26</v>
      </c>
      <c r="E4" s="15" t="s">
        <v>22</v>
      </c>
      <c r="F4" s="16" t="b">
        <v>1</v>
      </c>
      <c r="G4" s="16" t="b">
        <v>1</v>
      </c>
      <c r="H4" s="19">
        <f>IF(E4="","",IF(E4="",0,IF((COUNTIF($E4,"Senior")+COUNTIF($I4,"Senior")+COUNTIF($M4,"Senior")+COUNTIF($Q4,"Senior")+COUNTIF($U4,"Senior"))&gt;0,Lookup!$B$5,IF(E4="Value",IF(AND(COUNTA($E4,$I4,$M4,$Q4,$U4)&gt;=2,(COUNTIF($E4,"Extra")+COUNTIF($I4,"Extra")+COUNTIF($M4,"Extra")+COUNTIF($Q4,"Extra")+COUNTIF($U4,"Extra")+COUNTIF($E4,"Premium")+COUNTIF($I4,"Premium")+COUNTIF($M4,"Premium")+COUNTIF($Q4,"Premium")+COUNTIF($U4,"Premium"))&gt;0),Lookup!$B$4,0),IFERROR(VLOOKUP(E4,Lookup!$A$2:$B$5,2,FALSE),0))))+IF(AND(F4=TRUE,NOT((COUNTIF($E4,"Senior")+COUNTIF($I4,"Senior")+COUNTIF($M4,"Senior")+COUNTIF($Q4,"Senior")+COUNTIF($U4,"Senior"))&gt;0)),Lookup!$B$6,0)+IF(G4=TRUE,Lookup!$B$7,0))</f>
        <v>122</v>
      </c>
      <c r="I4" s="15" t="s">
        <v>22</v>
      </c>
      <c r="J4" s="16" t="b">
        <v>1</v>
      </c>
      <c r="K4" s="16" t="b">
        <v>1</v>
      </c>
      <c r="L4" s="19">
        <f>IF(I4="","",IF(I4="",0,IF((COUNTIF($E4,"Senior")+COUNTIF($I4,"Senior")+COUNTIF($M4,"Senior")+COUNTIF($Q4,"Senior")+COUNTIF($U4,"Senior"))&gt;0,Lookup!$B$5,IF(I4="Value",IF(AND(COUNTA($E4,$I4,$M4,$Q4,$U4)&gt;=2,(COUNTIF($E4,"Extra")+COUNTIF($I4,"Extra")+COUNTIF($M4,"Extra")+COUNTIF($Q4,"Extra")+COUNTIF($U4,"Extra")+COUNTIF($E4,"Premium")+COUNTIF($I4,"Premium")+COUNTIF($M4,"Premium")+COUNTIF($Q4,"Premium")+COUNTIF($U4,"Premium"))&gt;0),Lookup!$B$4,0),IFERROR(VLOOKUP(I4,Lookup!$A$2:$B$5,2,FALSE),0))))+IF(AND(J4=TRUE,NOT((COUNTIF($E4,"Senior")+COUNTIF($I4,"Senior")+COUNTIF($M4,"Senior")+COUNTIF($Q4,"Senior")+COUNTIF($U4,"Senior"))&gt;0)),Lookup!$B$6,0)+IF(K4=TRUE,Lookup!$B$7,0))</f>
        <v>122</v>
      </c>
      <c r="M4" s="15" t="s">
        <v>22</v>
      </c>
      <c r="N4" s="16" t="b">
        <v>1</v>
      </c>
      <c r="O4" s="16" t="b">
        <v>1</v>
      </c>
      <c r="P4" s="19">
        <f>IF(M4="","",IF(M4="",0,IF((COUNTIF($E4,"Senior")+COUNTIF($I4,"Senior")+COUNTIF($M4,"Senior")+COUNTIF($Q4,"Senior")+COUNTIF($U4,"Senior"))&gt;0,Lookup!$B$5,IF(M4="Value",IF(AND(COUNTA($E4,$I4,$M4,$Q4,$U4)&gt;=2,(COUNTIF($E4,"Extra")+COUNTIF($I4,"Extra")+COUNTIF($M4,"Extra")+COUNTIF($Q4,"Extra")+COUNTIF($U4,"Extra")+COUNTIF($E4,"Premium")+COUNTIF($I4,"Premium")+COUNTIF($M4,"Premium")+COUNTIF($Q4,"Premium")+COUNTIF($U4,"Premium"))&gt;0),Lookup!$B$4,0),IFERROR(VLOOKUP(M4,Lookup!$A$2:$B$5,2,FALSE),0))))+IF(AND(N4=TRUE,NOT((COUNTIF($E4,"Senior")+COUNTIF($I4,"Senior")+COUNTIF($M4,"Senior")+COUNTIF($Q4,"Senior")+COUNTIF($U4,"Senior"))&gt;0)),Lookup!$B$6,0)+IF(O4=TRUE,Lookup!$B$7,0))</f>
        <v>122</v>
      </c>
      <c r="Q4" s="15" t="s">
        <v>22</v>
      </c>
      <c r="R4" s="16" t="b">
        <v>1</v>
      </c>
      <c r="S4" s="16" t="b">
        <v>1</v>
      </c>
      <c r="T4" s="19">
        <f>IF(Q4="","",IF(Q4="",0,IF((COUNTIF($E4,"Senior")+COUNTIF($I4,"Senior")+COUNTIF($M4,"Senior")+COUNTIF($Q4,"Senior")+COUNTIF($U4,"Senior"))&gt;0,Lookup!$B$5,IF(Q4="Value",IF(AND(COUNTA($E4,$I4,$M4,$Q4,$U4)&gt;=2,(COUNTIF($E4,"Extra")+COUNTIF($I4,"Extra")+COUNTIF($M4,"Extra")+COUNTIF($Q4,"Extra")+COUNTIF($U4,"Extra")+COUNTIF($E4,"Premium")+COUNTIF($I4,"Premium")+COUNTIF($M4,"Premium")+COUNTIF($Q4,"Premium")+COUNTIF($U4,"Premium"))&gt;0),Lookup!$B$4,0),IFERROR(VLOOKUP(Q4,Lookup!$A$2:$B$5,2,FALSE),0))))+IF(AND(R4=TRUE,NOT((COUNTIF($E4,"Senior")+COUNTIF($I4,"Senior")+COUNTIF($M4,"Senior")+COUNTIF($Q4,"Senior")+COUNTIF($U4,"Senior"))&gt;0)),Lookup!$B$6,0)+IF(S4=TRUE,Lookup!$B$7,0))</f>
        <v>122</v>
      </c>
      <c r="U4" s="15" t="s">
        <v>22</v>
      </c>
      <c r="V4" s="16" t="b">
        <v>1</v>
      </c>
      <c r="W4" s="16" t="b">
        <v>1</v>
      </c>
      <c r="X4" s="19">
        <f>IF(U4="","",IF(U4="",0,IF((COUNTIF($E4,"Senior")+COUNTIF($I4,"Senior")+COUNTIF($M4,"Senior")+COUNTIF($Q4,"Senior")+COUNTIF($U4,"Senior"))&gt;0,Lookup!$B$5,IF(U4="Value",IF(AND(COUNTA($E4,$I4,$M4,$Q4,$U4)&gt;=2,(COUNTIF($E4,"Extra")+COUNTIF($I4,"Extra")+COUNTIF($M4,"Extra")+COUNTIF($Q4,"Extra")+COUNTIF($U4,"Extra")+COUNTIF($E4,"Premium")+COUNTIF($I4,"Premium")+COUNTIF($M4,"Premium")+COUNTIF($Q4,"Premium")+COUNTIF($U4,"Premium"))&gt;0),Lookup!$B$4,0),IFERROR(VLOOKUP(U4,Lookup!$A$2:$B$5,2,FALSE),0))))+IF(AND(V4=TRUE,NOT((COUNTIF($E4,"Senior")+COUNTIF($I4,"Senior")+COUNTIF($M4,"Senior")+COUNTIF($Q4,"Senior")+COUNTIF($U4,"Senior"))&gt;0)),Lookup!$B$6,0)+IF(W4=TRUE,Lookup!$B$7,0))</f>
        <v>122</v>
      </c>
      <c r="Y4" s="14" t="s">
        <v>32</v>
      </c>
      <c r="Z4" s="27">
        <f>IFERROR(VLOOKUP(Y4,Lookup!$A$9:$B$12,2,FALSE),0)</f>
        <v>165</v>
      </c>
      <c r="AA4" s="21">
        <f>SUM(H4,L4,P4,T4,X4,Z4)</f>
        <v>775</v>
      </c>
      <c r="AB4" s="13">
        <v>0.7</v>
      </c>
      <c r="AC4" s="19">
        <f>IFERROR(AA4*AB4,0)</f>
        <v>542.5</v>
      </c>
      <c r="AD4" s="22">
        <f>IFERROR(AA4*(1-AB4),0)</f>
        <v>232.50000000000003</v>
      </c>
      <c r="AE4" s="14"/>
    </row>
    <row r="5" spans="1:31" ht="18" customHeight="1" x14ac:dyDescent="0.3">
      <c r="A5" s="10"/>
      <c r="B5" s="10"/>
      <c r="C5" s="10"/>
      <c r="D5" s="11"/>
      <c r="E5" s="12"/>
      <c r="F5" s="16" t="b">
        <v>0</v>
      </c>
      <c r="G5" s="16" t="b">
        <v>0</v>
      </c>
      <c r="H5" s="19" t="str">
        <f>IF(E5="","",IF(E5="",0,IF((COUNTIF($E5,"Senior")+COUNTIF($I5,"Senior")+COUNTIF($M5,"Senior")+COUNTIF($Q5,"Senior")+COUNTIF($U5,"Senior"))&gt;0,Lookup!$B$5,IF(E5="Value",IF(AND(COUNTA($E5,$I5,$M5,$Q5,$U5)&gt;=2,(COUNTIF($E5,"Extra")+COUNTIF($I5,"Extra")+COUNTIF($M5,"Extra")+COUNTIF($Q5,"Extra")+COUNTIF($U5,"Extra")+COUNTIF($E5,"Premium")+COUNTIF($I5,"Premium")+COUNTIF($M5,"Premium")+COUNTIF($Q5,"Premium")+COUNTIF($U5,"Premium"))&gt;0),Lookup!$B$4,0),IFERROR(VLOOKUP(E5,Lookup!$A$2:$B$5,2,FALSE),0))))+IF(AND(F5=TRUE,NOT((COUNTIF($E5,"Senior")+COUNTIF($I5,"Senior")+COUNTIF($M5,"Senior")+COUNTIF($Q5,"Senior")+COUNTIF($U5,"Senior"))&gt;0)),Lookup!$B$6,0)+IF(G5=TRUE,Lookup!$B$7,0))</f>
        <v/>
      </c>
      <c r="I5" s="12"/>
      <c r="J5" s="16" t="b">
        <v>0</v>
      </c>
      <c r="K5" s="16" t="b">
        <v>0</v>
      </c>
      <c r="L5" s="19" t="str">
        <f>IF(I5="","",IF(I5="",0,IF((COUNTIF($E5,"Senior")+COUNTIF($I5,"Senior")+COUNTIF($M5,"Senior")+COUNTIF($Q5,"Senior")+COUNTIF($U5,"Senior"))&gt;0,Lookup!$B$5,IF(I5="Value",IF(AND(COUNTA($E5,$I5,$M5,$Q5,$U5)&gt;=2,(COUNTIF($E5,"Extra")+COUNTIF($I5,"Extra")+COUNTIF($M5,"Extra")+COUNTIF($Q5,"Extra")+COUNTIF($U5,"Extra")+COUNTIF($E5,"Premium")+COUNTIF($I5,"Premium")+COUNTIF($M5,"Premium")+COUNTIF($Q5,"Premium")+COUNTIF($U5,"Premium"))&gt;0),Lookup!$B$4,0),IFERROR(VLOOKUP(I5,Lookup!$A$2:$B$5,2,FALSE),0))))+IF(AND(J5=TRUE,NOT((COUNTIF($E5,"Senior")+COUNTIF($I5,"Senior")+COUNTIF($M5,"Senior")+COUNTIF($Q5,"Senior")+COUNTIF($U5,"Senior"))&gt;0)),Lookup!$B$6,0)+IF(K5=TRUE,Lookup!$B$7,0))</f>
        <v/>
      </c>
      <c r="M5" s="12"/>
      <c r="N5" s="16" t="b">
        <v>0</v>
      </c>
      <c r="O5" s="16" t="b">
        <v>0</v>
      </c>
      <c r="P5" s="19" t="str">
        <f>IF(M5="","",IF(M5="",0,IF((COUNTIF($E5,"Senior")+COUNTIF($I5,"Senior")+COUNTIF($M5,"Senior")+COUNTIF($Q5,"Senior")+COUNTIF($U5,"Senior"))&gt;0,Lookup!$B$5,IF(M5="Value",IF(AND(COUNTA($E5,$I5,$M5,$Q5,$U5)&gt;=2,(COUNTIF($E5,"Extra")+COUNTIF($I5,"Extra")+COUNTIF($M5,"Extra")+COUNTIF($Q5,"Extra")+COUNTIF($U5,"Extra")+COUNTIF($E5,"Premium")+COUNTIF($I5,"Premium")+COUNTIF($M5,"Premium")+COUNTIF($Q5,"Premium")+COUNTIF($U5,"Premium"))&gt;0),Lookup!$B$4,0),IFERROR(VLOOKUP(M5,Lookup!$A$2:$B$5,2,FALSE),0))))+IF(AND(N5=TRUE,NOT((COUNTIF($E5,"Senior")+COUNTIF($I5,"Senior")+COUNTIF($M5,"Senior")+COUNTIF($Q5,"Senior")+COUNTIF($U5,"Senior"))&gt;0)),Lookup!$B$6,0)+IF(O5=TRUE,Lookup!$B$7,0))</f>
        <v/>
      </c>
      <c r="Q5" s="12"/>
      <c r="R5" s="16" t="b">
        <v>0</v>
      </c>
      <c r="S5" s="16" t="b">
        <v>0</v>
      </c>
      <c r="T5" s="19" t="str">
        <f>IF(Q5="","",IF(Q5="",0,IF((COUNTIF($E5,"Senior")+COUNTIF($I5,"Senior")+COUNTIF($M5,"Senior")+COUNTIF($Q5,"Senior")+COUNTIF($U5,"Senior"))&gt;0,Lookup!$B$5,IF(Q5="Value",IF(AND(COUNTA($E5,$I5,$M5,$Q5,$U5)&gt;=2,(COUNTIF($E5,"Extra")+COUNTIF($I5,"Extra")+COUNTIF($M5,"Extra")+COUNTIF($Q5,"Extra")+COUNTIF($U5,"Extra")+COUNTIF($E5,"Premium")+COUNTIF($I5,"Premium")+COUNTIF($M5,"Premium")+COUNTIF($Q5,"Premium")+COUNTIF($U5,"Premium"))&gt;0),Lookup!$B$4,0),IFERROR(VLOOKUP(Q5,Lookup!$A$2:$B$5,2,FALSE),0))))+IF(AND(R5=TRUE,NOT((COUNTIF($E5,"Senior")+COUNTIF($I5,"Senior")+COUNTIF($M5,"Senior")+COUNTIF($Q5,"Senior")+COUNTIF($U5,"Senior"))&gt;0)),Lookup!$B$6,0)+IF(S5=TRUE,Lookup!$B$7,0))</f>
        <v/>
      </c>
      <c r="U5" s="12"/>
      <c r="V5" s="16" t="b">
        <v>0</v>
      </c>
      <c r="W5" s="16" t="b">
        <v>0</v>
      </c>
      <c r="X5" s="19" t="str">
        <f>IF(U5="","",IF(U5="",0,IF((COUNTIF($E5,"Senior")+COUNTIF($I5,"Senior")+COUNTIF($M5,"Senior")+COUNTIF($Q5,"Senior")+COUNTIF($U5,"Senior"))&gt;0,Lookup!$B$5,IF(U5="Value",IF(AND(COUNTA($E5,$I5,$M5,$Q5,$U5)&gt;=2,(COUNTIF($E5,"Extra")+COUNTIF($I5,"Extra")+COUNTIF($M5,"Extra")+COUNTIF($Q5,"Extra")+COUNTIF($U5,"Extra")+COUNTIF($E5,"Premium")+COUNTIF($I5,"Premium")+COUNTIF($M5,"Premium")+COUNTIF($Q5,"Premium")+COUNTIF($U5,"Premium"))&gt;0),Lookup!$B$4,0),IFERROR(VLOOKUP(U5,Lookup!$A$2:$B$5,2,FALSE),0))))+IF(AND(V5=TRUE,NOT((COUNTIF($E5,"Senior")+COUNTIF($I5,"Senior")+COUNTIF($M5,"Senior")+COUNTIF($Q5,"Senior")+COUNTIF($U5,"Senior"))&gt;0)),Lookup!$B$6,0)+IF(W5=TRUE,Lookup!$B$7,0))</f>
        <v/>
      </c>
      <c r="Y5" s="10"/>
      <c r="Z5" s="26">
        <f>IFERROR(VLOOKUP(Y5,Lookup!$A$9:$B$12,2,FALSE),0)</f>
        <v>0</v>
      </c>
      <c r="AA5" s="20">
        <f>SUM(H5,L5,P5,T5,X5,Z5)</f>
        <v>0</v>
      </c>
      <c r="AB5" s="13"/>
      <c r="AC5" s="19">
        <f>IFERROR(AA5*AB5,0)</f>
        <v>0</v>
      </c>
      <c r="AD5" s="22">
        <f>IFERROR(AA5*(1-AB5),0)</f>
        <v>0</v>
      </c>
      <c r="AE5" s="10"/>
    </row>
    <row r="6" spans="1:31" ht="18" customHeight="1" x14ac:dyDescent="0.3">
      <c r="A6" s="14"/>
      <c r="B6" s="14"/>
      <c r="C6" s="14"/>
      <c r="D6" s="11"/>
      <c r="E6" s="15"/>
      <c r="F6" s="16" t="b">
        <v>0</v>
      </c>
      <c r="G6" s="16" t="b">
        <v>0</v>
      </c>
      <c r="H6" s="19" t="str">
        <f>IF(E6="","",IF(E6="",0,IF((COUNTIF($E6,"Senior")+COUNTIF($I6,"Senior")+COUNTIF($M6,"Senior")+COUNTIF($Q6,"Senior")+COUNTIF($U6,"Senior"))&gt;0,Lookup!$B$5,IF(E6="Value",IF(AND(COUNTA($E6,$I6,$M6,$Q6,$U6)&gt;=2,(COUNTIF($E6,"Extra")+COUNTIF($I6,"Extra")+COUNTIF($M6,"Extra")+COUNTIF($Q6,"Extra")+COUNTIF($U6,"Extra")+COUNTIF($E6,"Premium")+COUNTIF($I6,"Premium")+COUNTIF($M6,"Premium")+COUNTIF($Q6,"Premium")+COUNTIF($U6,"Premium"))&gt;0),Lookup!$B$4,0),IFERROR(VLOOKUP(E6,Lookup!$A$2:$B$5,2,FALSE),0))))+IF(AND(F6=TRUE,NOT((COUNTIF($E6,"Senior")+COUNTIF($I6,"Senior")+COUNTIF($M6,"Senior")+COUNTIF($Q6,"Senior")+COUNTIF($U6,"Senior"))&gt;0)),Lookup!$B$6,0)+IF(G6=TRUE,Lookup!$B$7,0))</f>
        <v/>
      </c>
      <c r="I6" s="15"/>
      <c r="J6" s="16" t="b">
        <v>0</v>
      </c>
      <c r="K6" s="16" t="b">
        <v>0</v>
      </c>
      <c r="L6" s="19" t="str">
        <f>IF(I6="","",IF(I6="",0,IF((COUNTIF($E6,"Senior")+COUNTIF($I6,"Senior")+COUNTIF($M6,"Senior")+COUNTIF($Q6,"Senior")+COUNTIF($U6,"Senior"))&gt;0,Lookup!$B$5,IF(I6="Value",IF(AND(COUNTA($E6,$I6,$M6,$Q6,$U6)&gt;=2,(COUNTIF($E6,"Extra")+COUNTIF($I6,"Extra")+COUNTIF($M6,"Extra")+COUNTIF($Q6,"Extra")+COUNTIF($U6,"Extra")+COUNTIF($E6,"Premium")+COUNTIF($I6,"Premium")+COUNTIF($M6,"Premium")+COUNTIF($Q6,"Premium")+COUNTIF($U6,"Premium"))&gt;0),Lookup!$B$4,0),IFERROR(VLOOKUP(I6,Lookup!$A$2:$B$5,2,FALSE),0))))+IF(AND(J6=TRUE,NOT((COUNTIF($E6,"Senior")+COUNTIF($I6,"Senior")+COUNTIF($M6,"Senior")+COUNTIF($Q6,"Senior")+COUNTIF($U6,"Senior"))&gt;0)),Lookup!$B$6,0)+IF(K6=TRUE,Lookup!$B$7,0))</f>
        <v/>
      </c>
      <c r="M6" s="15"/>
      <c r="N6" s="16" t="b">
        <v>0</v>
      </c>
      <c r="O6" s="16" t="b">
        <v>0</v>
      </c>
      <c r="P6" s="19" t="str">
        <f>IF(M6="","",IF(M6="",0,IF((COUNTIF($E6,"Senior")+COUNTIF($I6,"Senior")+COUNTIF($M6,"Senior")+COUNTIF($Q6,"Senior")+COUNTIF($U6,"Senior"))&gt;0,Lookup!$B$5,IF(M6="Value",IF(AND(COUNTA($E6,$I6,$M6,$Q6,$U6)&gt;=2,(COUNTIF($E6,"Extra")+COUNTIF($I6,"Extra")+COUNTIF($M6,"Extra")+COUNTIF($Q6,"Extra")+COUNTIF($U6,"Extra")+COUNTIF($E6,"Premium")+COUNTIF($I6,"Premium")+COUNTIF($M6,"Premium")+COUNTIF($Q6,"Premium")+COUNTIF($U6,"Premium"))&gt;0),Lookup!$B$4,0),IFERROR(VLOOKUP(M6,Lookup!$A$2:$B$5,2,FALSE),0))))+IF(AND(N6=TRUE,NOT((COUNTIF($E6,"Senior")+COUNTIF($I6,"Senior")+COUNTIF($M6,"Senior")+COUNTIF($Q6,"Senior")+COUNTIF($U6,"Senior"))&gt;0)),Lookup!$B$6,0)+IF(O6=TRUE,Lookup!$B$7,0))</f>
        <v/>
      </c>
      <c r="Q6" s="15"/>
      <c r="R6" s="16" t="b">
        <v>0</v>
      </c>
      <c r="S6" s="16" t="b">
        <v>0</v>
      </c>
      <c r="T6" s="19" t="str">
        <f>IF(Q6="","",IF(Q6="",0,IF((COUNTIF($E6,"Senior")+COUNTIF($I6,"Senior")+COUNTIF($M6,"Senior")+COUNTIF($Q6,"Senior")+COUNTIF($U6,"Senior"))&gt;0,Lookup!$B$5,IF(Q6="Value",IF(AND(COUNTA($E6,$I6,$M6,$Q6,$U6)&gt;=2,(COUNTIF($E6,"Extra")+COUNTIF($I6,"Extra")+COUNTIF($M6,"Extra")+COUNTIF($Q6,"Extra")+COUNTIF($U6,"Extra")+COUNTIF($E6,"Premium")+COUNTIF($I6,"Premium")+COUNTIF($M6,"Premium")+COUNTIF($Q6,"Premium")+COUNTIF($U6,"Premium"))&gt;0),Lookup!$B$4,0),IFERROR(VLOOKUP(Q6,Lookup!$A$2:$B$5,2,FALSE),0))))+IF(AND(R6=TRUE,NOT((COUNTIF($E6,"Senior")+COUNTIF($I6,"Senior")+COUNTIF($M6,"Senior")+COUNTIF($Q6,"Senior")+COUNTIF($U6,"Senior"))&gt;0)),Lookup!$B$6,0)+IF(S6=TRUE,Lookup!$B$7,0))</f>
        <v/>
      </c>
      <c r="U6" s="15"/>
      <c r="V6" s="16" t="b">
        <v>0</v>
      </c>
      <c r="W6" s="16" t="b">
        <v>0</v>
      </c>
      <c r="X6" s="19" t="str">
        <f>IF(U6="","",IF(U6="",0,IF((COUNTIF($E6,"Senior")+COUNTIF($I6,"Senior")+COUNTIF($M6,"Senior")+COUNTIF($Q6,"Senior")+COUNTIF($U6,"Senior"))&gt;0,Lookup!$B$5,IF(U6="Value",IF(AND(COUNTA($E6,$I6,$M6,$Q6,$U6)&gt;=2,(COUNTIF($E6,"Extra")+COUNTIF($I6,"Extra")+COUNTIF($M6,"Extra")+COUNTIF($Q6,"Extra")+COUNTIF($U6,"Extra")+COUNTIF($E6,"Premium")+COUNTIF($I6,"Premium")+COUNTIF($M6,"Premium")+COUNTIF($Q6,"Premium")+COUNTIF($U6,"Premium"))&gt;0),Lookup!$B$4,0),IFERROR(VLOOKUP(U6,Lookup!$A$2:$B$5,2,FALSE),0))))+IF(AND(V6=TRUE,NOT((COUNTIF($E6,"Senior")+COUNTIF($I6,"Senior")+COUNTIF($M6,"Senior")+COUNTIF($Q6,"Senior")+COUNTIF($U6,"Senior"))&gt;0)),Lookup!$B$6,0)+IF(W6=TRUE,Lookup!$B$7,0))</f>
        <v/>
      </c>
      <c r="Y6" s="14"/>
      <c r="Z6" s="27">
        <f>IFERROR(VLOOKUP(Y6,Lookup!$A$9:$B$12,2,FALSE),0)</f>
        <v>0</v>
      </c>
      <c r="AA6" s="21">
        <f>SUM(H6,L6,P6,T6,X6,Z6)</f>
        <v>0</v>
      </c>
      <c r="AB6" s="13"/>
      <c r="AC6" s="19">
        <f>IFERROR(AA6*AB6,0)</f>
        <v>0</v>
      </c>
      <c r="AD6" s="22">
        <f>IFERROR(AA6*(1-AB6),0)</f>
        <v>0</v>
      </c>
      <c r="AE6" s="14"/>
    </row>
    <row r="7" spans="1:31" ht="18" customHeight="1" x14ac:dyDescent="0.3">
      <c r="A7" s="10"/>
      <c r="B7" s="10"/>
      <c r="C7" s="10"/>
      <c r="D7" s="11"/>
      <c r="E7" s="12"/>
      <c r="F7" s="16" t="b">
        <v>0</v>
      </c>
      <c r="G7" s="16" t="b">
        <v>0</v>
      </c>
      <c r="H7" s="19" t="str">
        <f>IF(E7="","",IF(E7="",0,IF((COUNTIF($E7,"Senior")+COUNTIF($I7,"Senior")+COUNTIF($M7,"Senior")+COUNTIF($Q7,"Senior")+COUNTIF($U7,"Senior"))&gt;0,Lookup!$B$5,IF(E7="Value",IF(AND(COUNTA($E7,$I7,$M7,$Q7,$U7)&gt;=2,(COUNTIF($E7,"Extra")+COUNTIF($I7,"Extra")+COUNTIF($M7,"Extra")+COUNTIF($Q7,"Extra")+COUNTIF($U7,"Extra")+COUNTIF($E7,"Premium")+COUNTIF($I7,"Premium")+COUNTIF($M7,"Premium")+COUNTIF($Q7,"Premium")+COUNTIF($U7,"Premium"))&gt;0),Lookup!$B$4,0),IFERROR(VLOOKUP(E7,Lookup!$A$2:$B$5,2,FALSE),0))))+IF(AND(F7=TRUE,NOT((COUNTIF($E7,"Senior")+COUNTIF($I7,"Senior")+COUNTIF($M7,"Senior")+COUNTIF($Q7,"Senior")+COUNTIF($U7,"Senior"))&gt;0)),Lookup!$B$6,0)+IF(G7=TRUE,Lookup!$B$7,0))</f>
        <v/>
      </c>
      <c r="I7" s="12"/>
      <c r="J7" s="16" t="b">
        <v>0</v>
      </c>
      <c r="K7" s="16" t="b">
        <v>0</v>
      </c>
      <c r="L7" s="19" t="str">
        <f>IF(I7="","",IF(I7="",0,IF((COUNTIF($E7,"Senior")+COUNTIF($I7,"Senior")+COUNTIF($M7,"Senior")+COUNTIF($Q7,"Senior")+COUNTIF($U7,"Senior"))&gt;0,Lookup!$B$5,IF(I7="Value",IF(AND(COUNTA($E7,$I7,$M7,$Q7,$U7)&gt;=2,(COUNTIF($E7,"Extra")+COUNTIF($I7,"Extra")+COUNTIF($M7,"Extra")+COUNTIF($Q7,"Extra")+COUNTIF($U7,"Extra")+COUNTIF($E7,"Premium")+COUNTIF($I7,"Premium")+COUNTIF($M7,"Premium")+COUNTIF($Q7,"Premium")+COUNTIF($U7,"Premium"))&gt;0),Lookup!$B$4,0),IFERROR(VLOOKUP(I7,Lookup!$A$2:$B$5,2,FALSE),0))))+IF(AND(J7=TRUE,NOT((COUNTIF($E7,"Senior")+COUNTIF($I7,"Senior")+COUNTIF($M7,"Senior")+COUNTIF($Q7,"Senior")+COUNTIF($U7,"Senior"))&gt;0)),Lookup!$B$6,0)+IF(K7=TRUE,Lookup!$B$7,0))</f>
        <v/>
      </c>
      <c r="M7" s="12"/>
      <c r="N7" s="16" t="b">
        <v>0</v>
      </c>
      <c r="O7" s="16" t="b">
        <v>0</v>
      </c>
      <c r="P7" s="19" t="str">
        <f>IF(M7="","",IF(M7="",0,IF((COUNTIF($E7,"Senior")+COUNTIF($I7,"Senior")+COUNTIF($M7,"Senior")+COUNTIF($Q7,"Senior")+COUNTIF($U7,"Senior"))&gt;0,Lookup!$B$5,IF(M7="Value",IF(AND(COUNTA($E7,$I7,$M7,$Q7,$U7)&gt;=2,(COUNTIF($E7,"Extra")+COUNTIF($I7,"Extra")+COUNTIF($M7,"Extra")+COUNTIF($Q7,"Extra")+COUNTIF($U7,"Extra")+COUNTIF($E7,"Premium")+COUNTIF($I7,"Premium")+COUNTIF($M7,"Premium")+COUNTIF($Q7,"Premium")+COUNTIF($U7,"Premium"))&gt;0),Lookup!$B$4,0),IFERROR(VLOOKUP(M7,Lookup!$A$2:$B$5,2,FALSE),0))))+IF(AND(N7=TRUE,NOT((COUNTIF($E7,"Senior")+COUNTIF($I7,"Senior")+COUNTIF($M7,"Senior")+COUNTIF($Q7,"Senior")+COUNTIF($U7,"Senior"))&gt;0)),Lookup!$B$6,0)+IF(O7=TRUE,Lookup!$B$7,0))</f>
        <v/>
      </c>
      <c r="Q7" s="12"/>
      <c r="R7" s="16" t="b">
        <v>0</v>
      </c>
      <c r="S7" s="16" t="b">
        <v>0</v>
      </c>
      <c r="T7" s="19" t="str">
        <f>IF(Q7="","",IF(Q7="",0,IF((COUNTIF($E7,"Senior")+COUNTIF($I7,"Senior")+COUNTIF($M7,"Senior")+COUNTIF($Q7,"Senior")+COUNTIF($U7,"Senior"))&gt;0,Lookup!$B$5,IF(Q7="Value",IF(AND(COUNTA($E7,$I7,$M7,$Q7,$U7)&gt;=2,(COUNTIF($E7,"Extra")+COUNTIF($I7,"Extra")+COUNTIF($M7,"Extra")+COUNTIF($Q7,"Extra")+COUNTIF($U7,"Extra")+COUNTIF($E7,"Premium")+COUNTIF($I7,"Premium")+COUNTIF($M7,"Premium")+COUNTIF($Q7,"Premium")+COUNTIF($U7,"Premium"))&gt;0),Lookup!$B$4,0),IFERROR(VLOOKUP(Q7,Lookup!$A$2:$B$5,2,FALSE),0))))+IF(AND(R7=TRUE,NOT((COUNTIF($E7,"Senior")+COUNTIF($I7,"Senior")+COUNTIF($M7,"Senior")+COUNTIF($Q7,"Senior")+COUNTIF($U7,"Senior"))&gt;0)),Lookup!$B$6,0)+IF(S7=TRUE,Lookup!$B$7,0))</f>
        <v/>
      </c>
      <c r="U7" s="12"/>
      <c r="V7" s="16" t="b">
        <v>0</v>
      </c>
      <c r="W7" s="16" t="b">
        <v>0</v>
      </c>
      <c r="X7" s="19" t="str">
        <f>IF(U7="","",IF(U7="",0,IF((COUNTIF($E7,"Senior")+COUNTIF($I7,"Senior")+COUNTIF($M7,"Senior")+COUNTIF($Q7,"Senior")+COUNTIF($U7,"Senior"))&gt;0,Lookup!$B$5,IF(U7="Value",IF(AND(COUNTA($E7,$I7,$M7,$Q7,$U7)&gt;=2,(COUNTIF($E7,"Extra")+COUNTIF($I7,"Extra")+COUNTIF($M7,"Extra")+COUNTIF($Q7,"Extra")+COUNTIF($U7,"Extra")+COUNTIF($E7,"Premium")+COUNTIF($I7,"Premium")+COUNTIF($M7,"Premium")+COUNTIF($Q7,"Premium")+COUNTIF($U7,"Premium"))&gt;0),Lookup!$B$4,0),IFERROR(VLOOKUP(U7,Lookup!$A$2:$B$5,2,FALSE),0))))+IF(AND(V7=TRUE,NOT((COUNTIF($E7,"Senior")+COUNTIF($I7,"Senior")+COUNTIF($M7,"Senior")+COUNTIF($Q7,"Senior")+COUNTIF($U7,"Senior"))&gt;0)),Lookup!$B$6,0)+IF(W7=TRUE,Lookup!$B$7,0))</f>
        <v/>
      </c>
      <c r="Y7" s="10"/>
      <c r="Z7" s="26">
        <f>IFERROR(VLOOKUP(Y7,Lookup!$A$9:$B$12,2,FALSE),0)</f>
        <v>0</v>
      </c>
      <c r="AA7" s="20">
        <f>SUM(H7,L7,P7,T7,X7,Z7)</f>
        <v>0</v>
      </c>
      <c r="AB7" s="13"/>
      <c r="AC7" s="19">
        <f>IFERROR(AA7*AB7,0)</f>
        <v>0</v>
      </c>
      <c r="AD7" s="22">
        <f>IFERROR(AA7*(1-AB7),0)</f>
        <v>0</v>
      </c>
      <c r="AE7" s="10"/>
    </row>
    <row r="8" spans="1:31" ht="18" customHeight="1" x14ac:dyDescent="0.3">
      <c r="A8" s="14"/>
      <c r="B8" s="14"/>
      <c r="C8" s="14"/>
      <c r="D8" s="11"/>
      <c r="E8" s="15"/>
      <c r="F8" s="16" t="b">
        <v>0</v>
      </c>
      <c r="G8" s="16" t="b">
        <v>0</v>
      </c>
      <c r="H8" s="19" t="str">
        <f>IF(E8="","",IF(E8="",0,IF((COUNTIF($E8,"Senior")+COUNTIF($I8,"Senior")+COUNTIF($M8,"Senior")+COUNTIF($Q8,"Senior")+COUNTIF($U8,"Senior"))&gt;0,Lookup!$B$5,IF(E8="Value",IF(AND(COUNTA($E8,$I8,$M8,$Q8,$U8)&gt;=2,(COUNTIF($E8,"Extra")+COUNTIF($I8,"Extra")+COUNTIF($M8,"Extra")+COUNTIF($Q8,"Extra")+COUNTIF($U8,"Extra")+COUNTIF($E8,"Premium")+COUNTIF($I8,"Premium")+COUNTIF($M8,"Premium")+COUNTIF($Q8,"Premium")+COUNTIF($U8,"Premium"))&gt;0),Lookup!$B$4,0),IFERROR(VLOOKUP(E8,Lookup!$A$2:$B$5,2,FALSE),0))))+IF(AND(F8=TRUE,NOT((COUNTIF($E8,"Senior")+COUNTIF($I8,"Senior")+COUNTIF($M8,"Senior")+COUNTIF($Q8,"Senior")+COUNTIF($U8,"Senior"))&gt;0)),Lookup!$B$6,0)+IF(G8=TRUE,Lookup!$B$7,0))</f>
        <v/>
      </c>
      <c r="I8" s="15"/>
      <c r="J8" s="16" t="b">
        <v>0</v>
      </c>
      <c r="K8" s="16" t="b">
        <v>0</v>
      </c>
      <c r="L8" s="19" t="str">
        <f>IF(I8="","",IF(I8="",0,IF((COUNTIF($E8,"Senior")+COUNTIF($I8,"Senior")+COUNTIF($M8,"Senior")+COUNTIF($Q8,"Senior")+COUNTIF($U8,"Senior"))&gt;0,Lookup!$B$5,IF(I8="Value",IF(AND(COUNTA($E8,$I8,$M8,$Q8,$U8)&gt;=2,(COUNTIF($E8,"Extra")+COUNTIF($I8,"Extra")+COUNTIF($M8,"Extra")+COUNTIF($Q8,"Extra")+COUNTIF($U8,"Extra")+COUNTIF($E8,"Premium")+COUNTIF($I8,"Premium")+COUNTIF($M8,"Premium")+COUNTIF($Q8,"Premium")+COUNTIF($U8,"Premium"))&gt;0),Lookup!$B$4,0),IFERROR(VLOOKUP(I8,Lookup!$A$2:$B$5,2,FALSE),0))))+IF(AND(J8=TRUE,NOT((COUNTIF($E8,"Senior")+COUNTIF($I8,"Senior")+COUNTIF($M8,"Senior")+COUNTIF($Q8,"Senior")+COUNTIF($U8,"Senior"))&gt;0)),Lookup!$B$6,0)+IF(K8=TRUE,Lookup!$B$7,0))</f>
        <v/>
      </c>
      <c r="M8" s="15"/>
      <c r="N8" s="16" t="b">
        <v>0</v>
      </c>
      <c r="O8" s="16" t="b">
        <v>0</v>
      </c>
      <c r="P8" s="19" t="str">
        <f>IF(M8="","",IF(M8="",0,IF((COUNTIF($E8,"Senior")+COUNTIF($I8,"Senior")+COUNTIF($M8,"Senior")+COUNTIF($Q8,"Senior")+COUNTIF($U8,"Senior"))&gt;0,Lookup!$B$5,IF(M8="Value",IF(AND(COUNTA($E8,$I8,$M8,$Q8,$U8)&gt;=2,(COUNTIF($E8,"Extra")+COUNTIF($I8,"Extra")+COUNTIF($M8,"Extra")+COUNTIF($Q8,"Extra")+COUNTIF($U8,"Extra")+COUNTIF($E8,"Premium")+COUNTIF($I8,"Premium")+COUNTIF($M8,"Premium")+COUNTIF($Q8,"Premium")+COUNTIF($U8,"Premium"))&gt;0),Lookup!$B$4,0),IFERROR(VLOOKUP(M8,Lookup!$A$2:$B$5,2,FALSE),0))))+IF(AND(N8=TRUE,NOT((COUNTIF($E8,"Senior")+COUNTIF($I8,"Senior")+COUNTIF($M8,"Senior")+COUNTIF($Q8,"Senior")+COUNTIF($U8,"Senior"))&gt;0)),Lookup!$B$6,0)+IF(O8=TRUE,Lookup!$B$7,0))</f>
        <v/>
      </c>
      <c r="Q8" s="15"/>
      <c r="R8" s="16" t="b">
        <v>0</v>
      </c>
      <c r="S8" s="16" t="b">
        <v>0</v>
      </c>
      <c r="T8" s="19" t="str">
        <f>IF(Q8="","",IF(Q8="",0,IF((COUNTIF($E8,"Senior")+COUNTIF($I8,"Senior")+COUNTIF($M8,"Senior")+COUNTIF($Q8,"Senior")+COUNTIF($U8,"Senior"))&gt;0,Lookup!$B$5,IF(Q8="Value",IF(AND(COUNTA($E8,$I8,$M8,$Q8,$U8)&gt;=2,(COUNTIF($E8,"Extra")+COUNTIF($I8,"Extra")+COUNTIF($M8,"Extra")+COUNTIF($Q8,"Extra")+COUNTIF($U8,"Extra")+COUNTIF($E8,"Premium")+COUNTIF($I8,"Premium")+COUNTIF($M8,"Premium")+COUNTIF($Q8,"Premium")+COUNTIF($U8,"Premium"))&gt;0),Lookup!$B$4,0),IFERROR(VLOOKUP(Q8,Lookup!$A$2:$B$5,2,FALSE),0))))+IF(AND(R8=TRUE,NOT((COUNTIF($E8,"Senior")+COUNTIF($I8,"Senior")+COUNTIF($M8,"Senior")+COUNTIF($Q8,"Senior")+COUNTIF($U8,"Senior"))&gt;0)),Lookup!$B$6,0)+IF(S8=TRUE,Lookup!$B$7,0))</f>
        <v/>
      </c>
      <c r="U8" s="15"/>
      <c r="V8" s="16" t="b">
        <v>0</v>
      </c>
      <c r="W8" s="16" t="b">
        <v>0</v>
      </c>
      <c r="X8" s="19" t="str">
        <f>IF(U8="","",IF(U8="",0,IF((COUNTIF($E8,"Senior")+COUNTIF($I8,"Senior")+COUNTIF($M8,"Senior")+COUNTIF($Q8,"Senior")+COUNTIF($U8,"Senior"))&gt;0,Lookup!$B$5,IF(U8="Value",IF(AND(COUNTA($E8,$I8,$M8,$Q8,$U8)&gt;=2,(COUNTIF($E8,"Extra")+COUNTIF($I8,"Extra")+COUNTIF($M8,"Extra")+COUNTIF($Q8,"Extra")+COUNTIF($U8,"Extra")+COUNTIF($E8,"Premium")+COUNTIF($I8,"Premium")+COUNTIF($M8,"Premium")+COUNTIF($Q8,"Premium")+COUNTIF($U8,"Premium"))&gt;0),Lookup!$B$4,0),IFERROR(VLOOKUP(U8,Lookup!$A$2:$B$5,2,FALSE),0))))+IF(AND(V8=TRUE,NOT((COUNTIF($E8,"Senior")+COUNTIF($I8,"Senior")+COUNTIF($M8,"Senior")+COUNTIF($Q8,"Senior")+COUNTIF($U8,"Senior"))&gt;0)),Lookup!$B$6,0)+IF(W8=TRUE,Lookup!$B$7,0))</f>
        <v/>
      </c>
      <c r="Y8" s="14"/>
      <c r="Z8" s="27">
        <f>IFERROR(VLOOKUP(Y8,Lookup!$A$9:$B$12,2,FALSE),0)</f>
        <v>0</v>
      </c>
      <c r="AA8" s="21">
        <f>SUM(H8,L8,P8,T8,X8,Z8)</f>
        <v>0</v>
      </c>
      <c r="AB8" s="13"/>
      <c r="AC8" s="19">
        <f>IFERROR(AA8*AB8,0)</f>
        <v>0</v>
      </c>
      <c r="AD8" s="22">
        <f>IFERROR(AA8*(1-AB8),0)</f>
        <v>0</v>
      </c>
      <c r="AE8" s="14"/>
    </row>
    <row r="9" spans="1:31" ht="18" customHeight="1" x14ac:dyDescent="0.3">
      <c r="A9" s="10"/>
      <c r="B9" s="10"/>
      <c r="C9" s="10"/>
      <c r="D9" s="11"/>
      <c r="E9" s="12"/>
      <c r="F9" s="16" t="b">
        <v>0</v>
      </c>
      <c r="G9" s="16" t="b">
        <v>0</v>
      </c>
      <c r="H9" s="19" t="str">
        <f>IF(E9="","",IF(E9="",0,IF((COUNTIF($E9,"Senior")+COUNTIF($I9,"Senior")+COUNTIF($M9,"Senior")+COUNTIF($Q9,"Senior")+COUNTIF($U9,"Senior"))&gt;0,Lookup!$B$5,IF(E9="Value",IF(AND(COUNTA($E9,$I9,$M9,$Q9,$U9)&gt;=2,(COUNTIF($E9,"Extra")+COUNTIF($I9,"Extra")+COUNTIF($M9,"Extra")+COUNTIF($Q9,"Extra")+COUNTIF($U9,"Extra")+COUNTIF($E9,"Premium")+COUNTIF($I9,"Premium")+COUNTIF($M9,"Premium")+COUNTIF($Q9,"Premium")+COUNTIF($U9,"Premium"))&gt;0),Lookup!$B$4,0),IFERROR(VLOOKUP(E9,Lookup!$A$2:$B$5,2,FALSE),0))))+IF(AND(F9=TRUE,NOT((COUNTIF($E9,"Senior")+COUNTIF($I9,"Senior")+COUNTIF($M9,"Senior")+COUNTIF($Q9,"Senior")+COUNTIF($U9,"Senior"))&gt;0)),Lookup!$B$6,0)+IF(G9=TRUE,Lookup!$B$7,0))</f>
        <v/>
      </c>
      <c r="I9" s="12"/>
      <c r="J9" s="16" t="b">
        <v>0</v>
      </c>
      <c r="K9" s="16" t="b">
        <v>0</v>
      </c>
      <c r="L9" s="19" t="str">
        <f>IF(I9="","",IF(I9="",0,IF((COUNTIF($E9,"Senior")+COUNTIF($I9,"Senior")+COUNTIF($M9,"Senior")+COUNTIF($Q9,"Senior")+COUNTIF($U9,"Senior"))&gt;0,Lookup!$B$5,IF(I9="Value",IF(AND(COUNTA($E9,$I9,$M9,$Q9,$U9)&gt;=2,(COUNTIF($E9,"Extra")+COUNTIF($I9,"Extra")+COUNTIF($M9,"Extra")+COUNTIF($Q9,"Extra")+COUNTIF($U9,"Extra")+COUNTIF($E9,"Premium")+COUNTIF($I9,"Premium")+COUNTIF($M9,"Premium")+COUNTIF($Q9,"Premium")+COUNTIF($U9,"Premium"))&gt;0),Lookup!$B$4,0),IFERROR(VLOOKUP(I9,Lookup!$A$2:$B$5,2,FALSE),0))))+IF(AND(J9=TRUE,NOT((COUNTIF($E9,"Senior")+COUNTIF($I9,"Senior")+COUNTIF($M9,"Senior")+COUNTIF($Q9,"Senior")+COUNTIF($U9,"Senior"))&gt;0)),Lookup!$B$6,0)+IF(K9=TRUE,Lookup!$B$7,0))</f>
        <v/>
      </c>
      <c r="M9" s="12"/>
      <c r="N9" s="16" t="b">
        <v>0</v>
      </c>
      <c r="O9" s="16" t="b">
        <v>0</v>
      </c>
      <c r="P9" s="19" t="str">
        <f>IF(M9="","",IF(M9="",0,IF((COUNTIF($E9,"Senior")+COUNTIF($I9,"Senior")+COUNTIF($M9,"Senior")+COUNTIF($Q9,"Senior")+COUNTIF($U9,"Senior"))&gt;0,Lookup!$B$5,IF(M9="Value",IF(AND(COUNTA($E9,$I9,$M9,$Q9,$U9)&gt;=2,(COUNTIF($E9,"Extra")+COUNTIF($I9,"Extra")+COUNTIF($M9,"Extra")+COUNTIF($Q9,"Extra")+COUNTIF($U9,"Extra")+COUNTIF($E9,"Premium")+COUNTIF($I9,"Premium")+COUNTIF($M9,"Premium")+COUNTIF($Q9,"Premium")+COUNTIF($U9,"Premium"))&gt;0),Lookup!$B$4,0),IFERROR(VLOOKUP(M9,Lookup!$A$2:$B$5,2,FALSE),0))))+IF(AND(N9=TRUE,NOT((COUNTIF($E9,"Senior")+COUNTIF($I9,"Senior")+COUNTIF($M9,"Senior")+COUNTIF($Q9,"Senior")+COUNTIF($U9,"Senior"))&gt;0)),Lookup!$B$6,0)+IF(O9=TRUE,Lookup!$B$7,0))</f>
        <v/>
      </c>
      <c r="Q9" s="12"/>
      <c r="R9" s="16" t="b">
        <v>0</v>
      </c>
      <c r="S9" s="16" t="b">
        <v>0</v>
      </c>
      <c r="T9" s="19" t="str">
        <f>IF(Q9="","",IF(Q9="",0,IF((COUNTIF($E9,"Senior")+COUNTIF($I9,"Senior")+COUNTIF($M9,"Senior")+COUNTIF($Q9,"Senior")+COUNTIF($U9,"Senior"))&gt;0,Lookup!$B$5,IF(Q9="Value",IF(AND(COUNTA($E9,$I9,$M9,$Q9,$U9)&gt;=2,(COUNTIF($E9,"Extra")+COUNTIF($I9,"Extra")+COUNTIF($M9,"Extra")+COUNTIF($Q9,"Extra")+COUNTIF($U9,"Extra")+COUNTIF($E9,"Premium")+COUNTIF($I9,"Premium")+COUNTIF($M9,"Premium")+COUNTIF($Q9,"Premium")+COUNTIF($U9,"Premium"))&gt;0),Lookup!$B$4,0),IFERROR(VLOOKUP(Q9,Lookup!$A$2:$B$5,2,FALSE),0))))+IF(AND(R9=TRUE,NOT((COUNTIF($E9,"Senior")+COUNTIF($I9,"Senior")+COUNTIF($M9,"Senior")+COUNTIF($Q9,"Senior")+COUNTIF($U9,"Senior"))&gt;0)),Lookup!$B$6,0)+IF(S9=TRUE,Lookup!$B$7,0))</f>
        <v/>
      </c>
      <c r="U9" s="12"/>
      <c r="V9" s="16" t="b">
        <v>0</v>
      </c>
      <c r="W9" s="16" t="b">
        <v>0</v>
      </c>
      <c r="X9" s="19" t="str">
        <f>IF(U9="","",IF(U9="",0,IF((COUNTIF($E9,"Senior")+COUNTIF($I9,"Senior")+COUNTIF($M9,"Senior")+COUNTIF($Q9,"Senior")+COUNTIF($U9,"Senior"))&gt;0,Lookup!$B$5,IF(U9="Value",IF(AND(COUNTA($E9,$I9,$M9,$Q9,$U9)&gt;=2,(COUNTIF($E9,"Extra")+COUNTIF($I9,"Extra")+COUNTIF($M9,"Extra")+COUNTIF($Q9,"Extra")+COUNTIF($U9,"Extra")+COUNTIF($E9,"Premium")+COUNTIF($I9,"Premium")+COUNTIF($M9,"Premium")+COUNTIF($Q9,"Premium")+COUNTIF($U9,"Premium"))&gt;0),Lookup!$B$4,0),IFERROR(VLOOKUP(U9,Lookup!$A$2:$B$5,2,FALSE),0))))+IF(AND(V9=TRUE,NOT((COUNTIF($E9,"Senior")+COUNTIF($I9,"Senior")+COUNTIF($M9,"Senior")+COUNTIF($Q9,"Senior")+COUNTIF($U9,"Senior"))&gt;0)),Lookup!$B$6,0)+IF(W9=TRUE,Lookup!$B$7,0))</f>
        <v/>
      </c>
      <c r="Y9" s="10"/>
      <c r="Z9" s="26">
        <f>IFERROR(VLOOKUP(Y9,Lookup!$A$9:$B$12,2,FALSE),0)</f>
        <v>0</v>
      </c>
      <c r="AA9" s="20">
        <f>SUM(H9,L9,P9,T9,X9,Z9)</f>
        <v>0</v>
      </c>
      <c r="AB9" s="13"/>
      <c r="AC9" s="19">
        <f>IFERROR(AA9*AB9,0)</f>
        <v>0</v>
      </c>
      <c r="AD9" s="22">
        <f>IFERROR(AA9*(1-AB9),0)</f>
        <v>0</v>
      </c>
      <c r="AE9" s="10"/>
    </row>
    <row r="10" spans="1:31" ht="18" customHeight="1" x14ac:dyDescent="0.3">
      <c r="A10" s="14"/>
      <c r="B10" s="14"/>
      <c r="C10" s="14"/>
      <c r="D10" s="11"/>
      <c r="E10" s="15"/>
      <c r="F10" s="16" t="b">
        <v>0</v>
      </c>
      <c r="G10" s="16" t="b">
        <v>0</v>
      </c>
      <c r="H10" s="19" t="str">
        <f>IF(E10="","",IF(E10="",0,IF((COUNTIF($E10,"Senior")+COUNTIF($I10,"Senior")+COUNTIF($M10,"Senior")+COUNTIF($Q10,"Senior")+COUNTIF($U10,"Senior"))&gt;0,Lookup!$B$5,IF(E10="Value",IF(AND(COUNTA($E10,$I10,$M10,$Q10,$U10)&gt;=2,(COUNTIF($E10,"Extra")+COUNTIF($I10,"Extra")+COUNTIF($M10,"Extra")+COUNTIF($Q10,"Extra")+COUNTIF($U10,"Extra")+COUNTIF($E10,"Premium")+COUNTIF($I10,"Premium")+COUNTIF($M10,"Premium")+COUNTIF($Q10,"Premium")+COUNTIF($U10,"Premium"))&gt;0),Lookup!$B$4,0),IFERROR(VLOOKUP(E10,Lookup!$A$2:$B$5,2,FALSE),0))))+IF(AND(F10=TRUE,NOT((COUNTIF($E10,"Senior")+COUNTIF($I10,"Senior")+COUNTIF($M10,"Senior")+COUNTIF($Q10,"Senior")+COUNTIF($U10,"Senior"))&gt;0)),Lookup!$B$6,0)+IF(G10=TRUE,Lookup!$B$7,0))</f>
        <v/>
      </c>
      <c r="I10" s="15"/>
      <c r="J10" s="16" t="b">
        <v>0</v>
      </c>
      <c r="K10" s="16" t="b">
        <v>0</v>
      </c>
      <c r="L10" s="19" t="str">
        <f>IF(I10="","",IF(I10="",0,IF((COUNTIF($E10,"Senior")+COUNTIF($I10,"Senior")+COUNTIF($M10,"Senior")+COUNTIF($Q10,"Senior")+COUNTIF($U10,"Senior"))&gt;0,Lookup!$B$5,IF(I10="Value",IF(AND(COUNTA($E10,$I10,$M10,$Q10,$U10)&gt;=2,(COUNTIF($E10,"Extra")+COUNTIF($I10,"Extra")+COUNTIF($M10,"Extra")+COUNTIF($Q10,"Extra")+COUNTIF($U10,"Extra")+COUNTIF($E10,"Premium")+COUNTIF($I10,"Premium")+COUNTIF($M10,"Premium")+COUNTIF($Q10,"Premium")+COUNTIF($U10,"Premium"))&gt;0),Lookup!$B$4,0),IFERROR(VLOOKUP(I10,Lookup!$A$2:$B$5,2,FALSE),0))))+IF(AND(J10=TRUE,NOT((COUNTIF($E10,"Senior")+COUNTIF($I10,"Senior")+COUNTIF($M10,"Senior")+COUNTIF($Q10,"Senior")+COUNTIF($U10,"Senior"))&gt;0)),Lookup!$B$6,0)+IF(K10=TRUE,Lookup!$B$7,0))</f>
        <v/>
      </c>
      <c r="M10" s="15"/>
      <c r="N10" s="16" t="b">
        <v>0</v>
      </c>
      <c r="O10" s="16" t="b">
        <v>0</v>
      </c>
      <c r="P10" s="19" t="str">
        <f>IF(M10="","",IF(M10="",0,IF((COUNTIF($E10,"Senior")+COUNTIF($I10,"Senior")+COUNTIF($M10,"Senior")+COUNTIF($Q10,"Senior")+COUNTIF($U10,"Senior"))&gt;0,Lookup!$B$5,IF(M10="Value",IF(AND(COUNTA($E10,$I10,$M10,$Q10,$U10)&gt;=2,(COUNTIF($E10,"Extra")+COUNTIF($I10,"Extra")+COUNTIF($M10,"Extra")+COUNTIF($Q10,"Extra")+COUNTIF($U10,"Extra")+COUNTIF($E10,"Premium")+COUNTIF($I10,"Premium")+COUNTIF($M10,"Premium")+COUNTIF($Q10,"Premium")+COUNTIF($U10,"Premium"))&gt;0),Lookup!$B$4,0),IFERROR(VLOOKUP(M10,Lookup!$A$2:$B$5,2,FALSE),0))))+IF(AND(N10=TRUE,NOT((COUNTIF($E10,"Senior")+COUNTIF($I10,"Senior")+COUNTIF($M10,"Senior")+COUNTIF($Q10,"Senior")+COUNTIF($U10,"Senior"))&gt;0)),Lookup!$B$6,0)+IF(O10=TRUE,Lookup!$B$7,0))</f>
        <v/>
      </c>
      <c r="Q10" s="15"/>
      <c r="R10" s="16" t="b">
        <v>0</v>
      </c>
      <c r="S10" s="16" t="b">
        <v>0</v>
      </c>
      <c r="T10" s="19" t="str">
        <f>IF(Q10="","",IF(Q10="",0,IF((COUNTIF($E10,"Senior")+COUNTIF($I10,"Senior")+COUNTIF($M10,"Senior")+COUNTIF($Q10,"Senior")+COUNTIF($U10,"Senior"))&gt;0,Lookup!$B$5,IF(Q10="Value",IF(AND(COUNTA($E10,$I10,$M10,$Q10,$U10)&gt;=2,(COUNTIF($E10,"Extra")+COUNTIF($I10,"Extra")+COUNTIF($M10,"Extra")+COUNTIF($Q10,"Extra")+COUNTIF($U10,"Extra")+COUNTIF($E10,"Premium")+COUNTIF($I10,"Premium")+COUNTIF($M10,"Premium")+COUNTIF($Q10,"Premium")+COUNTIF($U10,"Premium"))&gt;0),Lookup!$B$4,0),IFERROR(VLOOKUP(Q10,Lookup!$A$2:$B$5,2,FALSE),0))))+IF(AND(R10=TRUE,NOT((COUNTIF($E10,"Senior")+COUNTIF($I10,"Senior")+COUNTIF($M10,"Senior")+COUNTIF($Q10,"Senior")+COUNTIF($U10,"Senior"))&gt;0)),Lookup!$B$6,0)+IF(S10=TRUE,Lookup!$B$7,0))</f>
        <v/>
      </c>
      <c r="U10" s="15"/>
      <c r="V10" s="16" t="b">
        <v>0</v>
      </c>
      <c r="W10" s="16" t="b">
        <v>0</v>
      </c>
      <c r="X10" s="19" t="str">
        <f>IF(U10="","",IF(U10="",0,IF((COUNTIF($E10,"Senior")+COUNTIF($I10,"Senior")+COUNTIF($M10,"Senior")+COUNTIF($Q10,"Senior")+COUNTIF($U10,"Senior"))&gt;0,Lookup!$B$5,IF(U10="Value",IF(AND(COUNTA($E10,$I10,$M10,$Q10,$U10)&gt;=2,(COUNTIF($E10,"Extra")+COUNTIF($I10,"Extra")+COUNTIF($M10,"Extra")+COUNTIF($Q10,"Extra")+COUNTIF($U10,"Extra")+COUNTIF($E10,"Premium")+COUNTIF($I10,"Premium")+COUNTIF($M10,"Premium")+COUNTIF($Q10,"Premium")+COUNTIF($U10,"Premium"))&gt;0),Lookup!$B$4,0),IFERROR(VLOOKUP(U10,Lookup!$A$2:$B$5,2,FALSE),0))))+IF(AND(V10=TRUE,NOT((COUNTIF($E10,"Senior")+COUNTIF($I10,"Senior")+COUNTIF($M10,"Senior")+COUNTIF($Q10,"Senior")+COUNTIF($U10,"Senior"))&gt;0)),Lookup!$B$6,0)+IF(W10=TRUE,Lookup!$B$7,0))</f>
        <v/>
      </c>
      <c r="Y10" s="14"/>
      <c r="Z10" s="27">
        <f>IFERROR(VLOOKUP(Y10,Lookup!$A$9:$B$12,2,FALSE),0)</f>
        <v>0</v>
      </c>
      <c r="AA10" s="21">
        <f>SUM(H10,L10,P10,T10,X10,Z10)</f>
        <v>0</v>
      </c>
      <c r="AB10" s="13"/>
      <c r="AC10" s="19">
        <f>IFERROR(AA10*AB10,0)</f>
        <v>0</v>
      </c>
      <c r="AD10" s="22">
        <f>IFERROR(AA10*(1-AB10),0)</f>
        <v>0</v>
      </c>
      <c r="AE10" s="14"/>
    </row>
    <row r="11" spans="1:31" ht="18" customHeight="1" x14ac:dyDescent="0.3">
      <c r="A11" s="10"/>
      <c r="B11" s="10"/>
      <c r="C11" s="10"/>
      <c r="D11" s="11"/>
      <c r="E11" s="12"/>
      <c r="F11" s="16" t="b">
        <v>0</v>
      </c>
      <c r="G11" s="16" t="b">
        <v>0</v>
      </c>
      <c r="H11" s="19" t="str">
        <f>IF(E11="","",IF(E11="",0,IF((COUNTIF($E11,"Senior")+COUNTIF($I11,"Senior")+COUNTIF($M11,"Senior")+COUNTIF($Q11,"Senior")+COUNTIF($U11,"Senior"))&gt;0,Lookup!$B$5,IF(E11="Value",IF(AND(COUNTA($E11,$I11,$M11,$Q11,$U11)&gt;=2,(COUNTIF($E11,"Extra")+COUNTIF($I11,"Extra")+COUNTIF($M11,"Extra")+COUNTIF($Q11,"Extra")+COUNTIF($U11,"Extra")+COUNTIF($E11,"Premium")+COUNTIF($I11,"Premium")+COUNTIF($M11,"Premium")+COUNTIF($Q11,"Premium")+COUNTIF($U11,"Premium"))&gt;0),Lookup!$B$4,0),IFERROR(VLOOKUP(E11,Lookup!$A$2:$B$5,2,FALSE),0))))+IF(AND(F11=TRUE,NOT((COUNTIF($E11,"Senior")+COUNTIF($I11,"Senior")+COUNTIF($M11,"Senior")+COUNTIF($Q11,"Senior")+COUNTIF($U11,"Senior"))&gt;0)),Lookup!$B$6,0)+IF(G11=TRUE,Lookup!$B$7,0))</f>
        <v/>
      </c>
      <c r="I11" s="12"/>
      <c r="J11" s="16" t="b">
        <v>0</v>
      </c>
      <c r="K11" s="16" t="b">
        <v>0</v>
      </c>
      <c r="L11" s="19" t="str">
        <f>IF(I11="","",IF(I11="",0,IF((COUNTIF($E11,"Senior")+COUNTIF($I11,"Senior")+COUNTIF($M11,"Senior")+COUNTIF($Q11,"Senior")+COUNTIF($U11,"Senior"))&gt;0,Lookup!$B$5,IF(I11="Value",IF(AND(COUNTA($E11,$I11,$M11,$Q11,$U11)&gt;=2,(COUNTIF($E11,"Extra")+COUNTIF($I11,"Extra")+COUNTIF($M11,"Extra")+COUNTIF($Q11,"Extra")+COUNTIF($U11,"Extra")+COUNTIF($E11,"Premium")+COUNTIF($I11,"Premium")+COUNTIF($M11,"Premium")+COUNTIF($Q11,"Premium")+COUNTIF($U11,"Premium"))&gt;0),Lookup!$B$4,0),IFERROR(VLOOKUP(I11,Lookup!$A$2:$B$5,2,FALSE),0))))+IF(AND(J11=TRUE,NOT((COUNTIF($E11,"Senior")+COUNTIF($I11,"Senior")+COUNTIF($M11,"Senior")+COUNTIF($Q11,"Senior")+COUNTIF($U11,"Senior"))&gt;0)),Lookup!$B$6,0)+IF(K11=TRUE,Lookup!$B$7,0))</f>
        <v/>
      </c>
      <c r="M11" s="12"/>
      <c r="N11" s="16" t="b">
        <v>0</v>
      </c>
      <c r="O11" s="16" t="b">
        <v>0</v>
      </c>
      <c r="P11" s="19" t="str">
        <f>IF(M11="","",IF(M11="",0,IF((COUNTIF($E11,"Senior")+COUNTIF($I11,"Senior")+COUNTIF($M11,"Senior")+COUNTIF($Q11,"Senior")+COUNTIF($U11,"Senior"))&gt;0,Lookup!$B$5,IF(M11="Value",IF(AND(COUNTA($E11,$I11,$M11,$Q11,$U11)&gt;=2,(COUNTIF($E11,"Extra")+COUNTIF($I11,"Extra")+COUNTIF($M11,"Extra")+COUNTIF($Q11,"Extra")+COUNTIF($U11,"Extra")+COUNTIF($E11,"Premium")+COUNTIF($I11,"Premium")+COUNTIF($M11,"Premium")+COUNTIF($Q11,"Premium")+COUNTIF($U11,"Premium"))&gt;0),Lookup!$B$4,0),IFERROR(VLOOKUP(M11,Lookup!$A$2:$B$5,2,FALSE),0))))+IF(AND(N11=TRUE,NOT((COUNTIF($E11,"Senior")+COUNTIF($I11,"Senior")+COUNTIF($M11,"Senior")+COUNTIF($Q11,"Senior")+COUNTIF($U11,"Senior"))&gt;0)),Lookup!$B$6,0)+IF(O11=TRUE,Lookup!$B$7,0))</f>
        <v/>
      </c>
      <c r="Q11" s="12"/>
      <c r="R11" s="16" t="b">
        <v>0</v>
      </c>
      <c r="S11" s="16" t="b">
        <v>0</v>
      </c>
      <c r="T11" s="19" t="str">
        <f>IF(Q11="","",IF(Q11="",0,IF((COUNTIF($E11,"Senior")+COUNTIF($I11,"Senior")+COUNTIF($M11,"Senior")+COUNTIF($Q11,"Senior")+COUNTIF($U11,"Senior"))&gt;0,Lookup!$B$5,IF(Q11="Value",IF(AND(COUNTA($E11,$I11,$M11,$Q11,$U11)&gt;=2,(COUNTIF($E11,"Extra")+COUNTIF($I11,"Extra")+COUNTIF($M11,"Extra")+COUNTIF($Q11,"Extra")+COUNTIF($U11,"Extra")+COUNTIF($E11,"Premium")+COUNTIF($I11,"Premium")+COUNTIF($M11,"Premium")+COUNTIF($Q11,"Premium")+COUNTIF($U11,"Premium"))&gt;0),Lookup!$B$4,0),IFERROR(VLOOKUP(Q11,Lookup!$A$2:$B$5,2,FALSE),0))))+IF(AND(R11=TRUE,NOT((COUNTIF($E11,"Senior")+COUNTIF($I11,"Senior")+COUNTIF($M11,"Senior")+COUNTIF($Q11,"Senior")+COUNTIF($U11,"Senior"))&gt;0)),Lookup!$B$6,0)+IF(S11=TRUE,Lookup!$B$7,0))</f>
        <v/>
      </c>
      <c r="U11" s="12"/>
      <c r="V11" s="16" t="b">
        <v>0</v>
      </c>
      <c r="W11" s="16" t="b">
        <v>0</v>
      </c>
      <c r="X11" s="19" t="str">
        <f>IF(U11="","",IF(U11="",0,IF((COUNTIF($E11,"Senior")+COUNTIF($I11,"Senior")+COUNTIF($M11,"Senior")+COUNTIF($Q11,"Senior")+COUNTIF($U11,"Senior"))&gt;0,Lookup!$B$5,IF(U11="Value",IF(AND(COUNTA($E11,$I11,$M11,$Q11,$U11)&gt;=2,(COUNTIF($E11,"Extra")+COUNTIF($I11,"Extra")+COUNTIF($M11,"Extra")+COUNTIF($Q11,"Extra")+COUNTIF($U11,"Extra")+COUNTIF($E11,"Premium")+COUNTIF($I11,"Premium")+COUNTIF($M11,"Premium")+COUNTIF($Q11,"Premium")+COUNTIF($U11,"Premium"))&gt;0),Lookup!$B$4,0),IFERROR(VLOOKUP(U11,Lookup!$A$2:$B$5,2,FALSE),0))))+IF(AND(V11=TRUE,NOT((COUNTIF($E11,"Senior")+COUNTIF($I11,"Senior")+COUNTIF($M11,"Senior")+COUNTIF($Q11,"Senior")+COUNTIF($U11,"Senior"))&gt;0)),Lookup!$B$6,0)+IF(W11=TRUE,Lookup!$B$7,0))</f>
        <v/>
      </c>
      <c r="Y11" s="10"/>
      <c r="Z11" s="26">
        <f>IFERROR(VLOOKUP(Y11,Lookup!$A$9:$B$12,2,FALSE),0)</f>
        <v>0</v>
      </c>
      <c r="AA11" s="20">
        <f>SUM(H11,L11,P11,T11,X11,Z11)</f>
        <v>0</v>
      </c>
      <c r="AB11" s="13"/>
      <c r="AC11" s="19">
        <f>IFERROR(AA11*AB11,0)</f>
        <v>0</v>
      </c>
      <c r="AD11" s="22">
        <f>IFERROR(AA11*(1-AB11),0)</f>
        <v>0</v>
      </c>
      <c r="AE11" s="10"/>
    </row>
    <row r="12" spans="1:31" ht="18" customHeight="1" x14ac:dyDescent="0.3">
      <c r="A12" s="14"/>
      <c r="B12" s="14"/>
      <c r="C12" s="14"/>
      <c r="D12" s="11"/>
      <c r="E12" s="15"/>
      <c r="F12" s="16" t="b">
        <v>0</v>
      </c>
      <c r="G12" s="16" t="b">
        <v>0</v>
      </c>
      <c r="H12" s="19" t="str">
        <f>IF(E12="","",IF(E12="",0,IF((COUNTIF($E12,"Senior")+COUNTIF($I12,"Senior")+COUNTIF($M12,"Senior")+COUNTIF($Q12,"Senior")+COUNTIF($U12,"Senior"))&gt;0,Lookup!$B$5,IF(E12="Value",IF(AND(COUNTA($E12,$I12,$M12,$Q12,$U12)&gt;=2,(COUNTIF($E12,"Extra")+COUNTIF($I12,"Extra")+COUNTIF($M12,"Extra")+COUNTIF($Q12,"Extra")+COUNTIF($U12,"Extra")+COUNTIF($E12,"Premium")+COUNTIF($I12,"Premium")+COUNTIF($M12,"Premium")+COUNTIF($Q12,"Premium")+COUNTIF($U12,"Premium"))&gt;0),Lookup!$B$4,0),IFERROR(VLOOKUP(E12,Lookup!$A$2:$B$5,2,FALSE),0))))+IF(AND(F12=TRUE,NOT((COUNTIF($E12,"Senior")+COUNTIF($I12,"Senior")+COUNTIF($M12,"Senior")+COUNTIF($Q12,"Senior")+COUNTIF($U12,"Senior"))&gt;0)),Lookup!$B$6,0)+IF(G12=TRUE,Lookup!$B$7,0))</f>
        <v/>
      </c>
      <c r="I12" s="15"/>
      <c r="J12" s="16" t="b">
        <v>0</v>
      </c>
      <c r="K12" s="16" t="b">
        <v>0</v>
      </c>
      <c r="L12" s="19" t="str">
        <f>IF(I12="","",IF(I12="",0,IF((COUNTIF($E12,"Senior")+COUNTIF($I12,"Senior")+COUNTIF($M12,"Senior")+COUNTIF($Q12,"Senior")+COUNTIF($U12,"Senior"))&gt;0,Lookup!$B$5,IF(I12="Value",IF(AND(COUNTA($E12,$I12,$M12,$Q12,$U12)&gt;=2,(COUNTIF($E12,"Extra")+COUNTIF($I12,"Extra")+COUNTIF($M12,"Extra")+COUNTIF($Q12,"Extra")+COUNTIF($U12,"Extra")+COUNTIF($E12,"Premium")+COUNTIF($I12,"Premium")+COUNTIF($M12,"Premium")+COUNTIF($Q12,"Premium")+COUNTIF($U12,"Premium"))&gt;0),Lookup!$B$4,0),IFERROR(VLOOKUP(I12,Lookup!$A$2:$B$5,2,FALSE),0))))+IF(AND(J12=TRUE,NOT((COUNTIF($E12,"Senior")+COUNTIF($I12,"Senior")+COUNTIF($M12,"Senior")+COUNTIF($Q12,"Senior")+COUNTIF($U12,"Senior"))&gt;0)),Lookup!$B$6,0)+IF(K12=TRUE,Lookup!$B$7,0))</f>
        <v/>
      </c>
      <c r="M12" s="15"/>
      <c r="N12" s="16" t="b">
        <v>0</v>
      </c>
      <c r="O12" s="16" t="b">
        <v>0</v>
      </c>
      <c r="P12" s="19" t="str">
        <f>IF(M12="","",IF(M12="",0,IF((COUNTIF($E12,"Senior")+COUNTIF($I12,"Senior")+COUNTIF($M12,"Senior")+COUNTIF($Q12,"Senior")+COUNTIF($U12,"Senior"))&gt;0,Lookup!$B$5,IF(M12="Value",IF(AND(COUNTA($E12,$I12,$M12,$Q12,$U12)&gt;=2,(COUNTIF($E12,"Extra")+COUNTIF($I12,"Extra")+COUNTIF($M12,"Extra")+COUNTIF($Q12,"Extra")+COUNTIF($U12,"Extra")+COUNTIF($E12,"Premium")+COUNTIF($I12,"Premium")+COUNTIF($M12,"Premium")+COUNTIF($Q12,"Premium")+COUNTIF($U12,"Premium"))&gt;0),Lookup!$B$4,0),IFERROR(VLOOKUP(M12,Lookup!$A$2:$B$5,2,FALSE),0))))+IF(AND(N12=TRUE,NOT((COUNTIF($E12,"Senior")+COUNTIF($I12,"Senior")+COUNTIF($M12,"Senior")+COUNTIF($Q12,"Senior")+COUNTIF($U12,"Senior"))&gt;0)),Lookup!$B$6,0)+IF(O12=TRUE,Lookup!$B$7,0))</f>
        <v/>
      </c>
      <c r="Q12" s="15"/>
      <c r="R12" s="16" t="b">
        <v>0</v>
      </c>
      <c r="S12" s="16" t="b">
        <v>0</v>
      </c>
      <c r="T12" s="19" t="str">
        <f>IF(Q12="","",IF(Q12="",0,IF((COUNTIF($E12,"Senior")+COUNTIF($I12,"Senior")+COUNTIF($M12,"Senior")+COUNTIF($Q12,"Senior")+COUNTIF($U12,"Senior"))&gt;0,Lookup!$B$5,IF(Q12="Value",IF(AND(COUNTA($E12,$I12,$M12,$Q12,$U12)&gt;=2,(COUNTIF($E12,"Extra")+COUNTIF($I12,"Extra")+COUNTIF($M12,"Extra")+COUNTIF($Q12,"Extra")+COUNTIF($U12,"Extra")+COUNTIF($E12,"Premium")+COUNTIF($I12,"Premium")+COUNTIF($M12,"Premium")+COUNTIF($Q12,"Premium")+COUNTIF($U12,"Premium"))&gt;0),Lookup!$B$4,0),IFERROR(VLOOKUP(Q12,Lookup!$A$2:$B$5,2,FALSE),0))))+IF(AND(R12=TRUE,NOT((COUNTIF($E12,"Senior")+COUNTIF($I12,"Senior")+COUNTIF($M12,"Senior")+COUNTIF($Q12,"Senior")+COUNTIF($U12,"Senior"))&gt;0)),Lookup!$B$6,0)+IF(S12=TRUE,Lookup!$B$7,0))</f>
        <v/>
      </c>
      <c r="U12" s="15"/>
      <c r="V12" s="16" t="b">
        <v>0</v>
      </c>
      <c r="W12" s="16" t="b">
        <v>0</v>
      </c>
      <c r="X12" s="19" t="str">
        <f>IF(U12="","",IF(U12="",0,IF((COUNTIF($E12,"Senior")+COUNTIF($I12,"Senior")+COUNTIF($M12,"Senior")+COUNTIF($Q12,"Senior")+COUNTIF($U12,"Senior"))&gt;0,Lookup!$B$5,IF(U12="Value",IF(AND(COUNTA($E12,$I12,$M12,$Q12,$U12)&gt;=2,(COUNTIF($E12,"Extra")+COUNTIF($I12,"Extra")+COUNTIF($M12,"Extra")+COUNTIF($Q12,"Extra")+COUNTIF($U12,"Extra")+COUNTIF($E12,"Premium")+COUNTIF($I12,"Premium")+COUNTIF($M12,"Premium")+COUNTIF($Q12,"Premium")+COUNTIF($U12,"Premium"))&gt;0),Lookup!$B$4,0),IFERROR(VLOOKUP(U12,Lookup!$A$2:$B$5,2,FALSE),0))))+IF(AND(V12=TRUE,NOT((COUNTIF($E12,"Senior")+COUNTIF($I12,"Senior")+COUNTIF($M12,"Senior")+COUNTIF($Q12,"Senior")+COUNTIF($U12,"Senior"))&gt;0)),Lookup!$B$6,0)+IF(W12=TRUE,Lookup!$B$7,0))</f>
        <v/>
      </c>
      <c r="Y12" s="14"/>
      <c r="Z12" s="27">
        <f>IFERROR(VLOOKUP(Y12,Lookup!$A$9:$B$12,2,FALSE),0)</f>
        <v>0</v>
      </c>
      <c r="AA12" s="21">
        <f>SUM(H12,L12,P12,T12,X12,Z12)</f>
        <v>0</v>
      </c>
      <c r="AB12" s="13"/>
      <c r="AC12" s="19">
        <f>IFERROR(AA12*AB12,0)</f>
        <v>0</v>
      </c>
      <c r="AD12" s="22">
        <f>IFERROR(AA12*(1-AB12),0)</f>
        <v>0</v>
      </c>
      <c r="AE12" s="14"/>
    </row>
    <row r="13" spans="1:31" ht="18" customHeight="1" x14ac:dyDescent="0.3">
      <c r="A13" s="10"/>
      <c r="B13" s="10"/>
      <c r="C13" s="10"/>
      <c r="D13" s="11"/>
      <c r="E13" s="12"/>
      <c r="F13" s="16" t="b">
        <v>0</v>
      </c>
      <c r="G13" s="16" t="b">
        <v>0</v>
      </c>
      <c r="H13" s="19" t="str">
        <f>IF(E13="","",IF(E13="",0,IF((COUNTIF($E13,"Senior")+COUNTIF($I13,"Senior")+COUNTIF($M13,"Senior")+COUNTIF($Q13,"Senior")+COUNTIF($U13,"Senior"))&gt;0,Lookup!$B$5,IF(E13="Value",IF(AND(COUNTA($E13,$I13,$M13,$Q13,$U13)&gt;=2,(COUNTIF($E13,"Extra")+COUNTIF($I13,"Extra")+COUNTIF($M13,"Extra")+COUNTIF($Q13,"Extra")+COUNTIF($U13,"Extra")+COUNTIF($E13,"Premium")+COUNTIF($I13,"Premium")+COUNTIF($M13,"Premium")+COUNTIF($Q13,"Premium")+COUNTIF($U13,"Premium"))&gt;0),Lookup!$B$4,0),IFERROR(VLOOKUP(E13,Lookup!$A$2:$B$5,2,FALSE),0))))+IF(AND(F13=TRUE,NOT((COUNTIF($E13,"Senior")+COUNTIF($I13,"Senior")+COUNTIF($M13,"Senior")+COUNTIF($Q13,"Senior")+COUNTIF($U13,"Senior"))&gt;0)),Lookup!$B$6,0)+IF(G13=TRUE,Lookup!$B$7,0))</f>
        <v/>
      </c>
      <c r="I13" s="12"/>
      <c r="J13" s="16" t="b">
        <v>0</v>
      </c>
      <c r="K13" s="16" t="b">
        <v>0</v>
      </c>
      <c r="L13" s="19" t="str">
        <f>IF(I13="","",IF(I13="",0,IF((COUNTIF($E13,"Senior")+COUNTIF($I13,"Senior")+COUNTIF($M13,"Senior")+COUNTIF($Q13,"Senior")+COUNTIF($U13,"Senior"))&gt;0,Lookup!$B$5,IF(I13="Value",IF(AND(COUNTA($E13,$I13,$M13,$Q13,$U13)&gt;=2,(COUNTIF($E13,"Extra")+COUNTIF($I13,"Extra")+COUNTIF($M13,"Extra")+COUNTIF($Q13,"Extra")+COUNTIF($U13,"Extra")+COUNTIF($E13,"Premium")+COUNTIF($I13,"Premium")+COUNTIF($M13,"Premium")+COUNTIF($Q13,"Premium")+COUNTIF($U13,"Premium"))&gt;0),Lookup!$B$4,0),IFERROR(VLOOKUP(I13,Lookup!$A$2:$B$5,2,FALSE),0))))+IF(AND(J13=TRUE,NOT((COUNTIF($E13,"Senior")+COUNTIF($I13,"Senior")+COUNTIF($M13,"Senior")+COUNTIF($Q13,"Senior")+COUNTIF($U13,"Senior"))&gt;0)),Lookup!$B$6,0)+IF(K13=TRUE,Lookup!$B$7,0))</f>
        <v/>
      </c>
      <c r="M13" s="12"/>
      <c r="N13" s="16" t="b">
        <v>0</v>
      </c>
      <c r="O13" s="16" t="b">
        <v>0</v>
      </c>
      <c r="P13" s="19" t="str">
        <f>IF(M13="","",IF(M13="",0,IF((COUNTIF($E13,"Senior")+COUNTIF($I13,"Senior")+COUNTIF($M13,"Senior")+COUNTIF($Q13,"Senior")+COUNTIF($U13,"Senior"))&gt;0,Lookup!$B$5,IF(M13="Value",IF(AND(COUNTA($E13,$I13,$M13,$Q13,$U13)&gt;=2,(COUNTIF($E13,"Extra")+COUNTIF($I13,"Extra")+COUNTIF($M13,"Extra")+COUNTIF($Q13,"Extra")+COUNTIF($U13,"Extra")+COUNTIF($E13,"Premium")+COUNTIF($I13,"Premium")+COUNTIF($M13,"Premium")+COUNTIF($Q13,"Premium")+COUNTIF($U13,"Premium"))&gt;0),Lookup!$B$4,0),IFERROR(VLOOKUP(M13,Lookup!$A$2:$B$5,2,FALSE),0))))+IF(AND(N13=TRUE,NOT((COUNTIF($E13,"Senior")+COUNTIF($I13,"Senior")+COUNTIF($M13,"Senior")+COUNTIF($Q13,"Senior")+COUNTIF($U13,"Senior"))&gt;0)),Lookup!$B$6,0)+IF(O13=TRUE,Lookup!$B$7,0))</f>
        <v/>
      </c>
      <c r="Q13" s="12"/>
      <c r="R13" s="16" t="b">
        <v>0</v>
      </c>
      <c r="S13" s="16" t="b">
        <v>0</v>
      </c>
      <c r="T13" s="19" t="str">
        <f>IF(Q13="","",IF(Q13="",0,IF((COUNTIF($E13,"Senior")+COUNTIF($I13,"Senior")+COUNTIF($M13,"Senior")+COUNTIF($Q13,"Senior")+COUNTIF($U13,"Senior"))&gt;0,Lookup!$B$5,IF(Q13="Value",IF(AND(COUNTA($E13,$I13,$M13,$Q13,$U13)&gt;=2,(COUNTIF($E13,"Extra")+COUNTIF($I13,"Extra")+COUNTIF($M13,"Extra")+COUNTIF($Q13,"Extra")+COUNTIF($U13,"Extra")+COUNTIF($E13,"Premium")+COUNTIF($I13,"Premium")+COUNTIF($M13,"Premium")+COUNTIF($Q13,"Premium")+COUNTIF($U13,"Premium"))&gt;0),Lookup!$B$4,0),IFERROR(VLOOKUP(Q13,Lookup!$A$2:$B$5,2,FALSE),0))))+IF(AND(R13=TRUE,NOT((COUNTIF($E13,"Senior")+COUNTIF($I13,"Senior")+COUNTIF($M13,"Senior")+COUNTIF($Q13,"Senior")+COUNTIF($U13,"Senior"))&gt;0)),Lookup!$B$6,0)+IF(S13=TRUE,Lookup!$B$7,0))</f>
        <v/>
      </c>
      <c r="U13" s="12"/>
      <c r="V13" s="16" t="b">
        <v>0</v>
      </c>
      <c r="W13" s="16" t="b">
        <v>0</v>
      </c>
      <c r="X13" s="19" t="str">
        <f>IF(U13="","",IF(U13="",0,IF((COUNTIF($E13,"Senior")+COUNTIF($I13,"Senior")+COUNTIF($M13,"Senior")+COUNTIF($Q13,"Senior")+COUNTIF($U13,"Senior"))&gt;0,Lookup!$B$5,IF(U13="Value",IF(AND(COUNTA($E13,$I13,$M13,$Q13,$U13)&gt;=2,(COUNTIF($E13,"Extra")+COUNTIF($I13,"Extra")+COUNTIF($M13,"Extra")+COUNTIF($Q13,"Extra")+COUNTIF($U13,"Extra")+COUNTIF($E13,"Premium")+COUNTIF($I13,"Premium")+COUNTIF($M13,"Premium")+COUNTIF($Q13,"Premium")+COUNTIF($U13,"Premium"))&gt;0),Lookup!$B$4,0),IFERROR(VLOOKUP(U13,Lookup!$A$2:$B$5,2,FALSE),0))))+IF(AND(V13=TRUE,NOT((COUNTIF($E13,"Senior")+COUNTIF($I13,"Senior")+COUNTIF($M13,"Senior")+COUNTIF($Q13,"Senior")+COUNTIF($U13,"Senior"))&gt;0)),Lookup!$B$6,0)+IF(W13=TRUE,Lookup!$B$7,0))</f>
        <v/>
      </c>
      <c r="Y13" s="10"/>
      <c r="Z13" s="26">
        <f>IFERROR(VLOOKUP(Y13,Lookup!$A$9:$B$12,2,FALSE),0)</f>
        <v>0</v>
      </c>
      <c r="AA13" s="20">
        <f>SUM(H13,L13,P13,T13,X13,Z13)</f>
        <v>0</v>
      </c>
      <c r="AB13" s="13"/>
      <c r="AC13" s="19">
        <f>IFERROR(AA13*AB13,0)</f>
        <v>0</v>
      </c>
      <c r="AD13" s="22">
        <f>IFERROR(AA13*(1-AB13),0)</f>
        <v>0</v>
      </c>
      <c r="AE13" s="10"/>
    </row>
    <row r="14" spans="1:31" ht="18" customHeight="1" x14ac:dyDescent="0.3">
      <c r="A14" s="14"/>
      <c r="B14" s="14"/>
      <c r="C14" s="14"/>
      <c r="D14" s="11"/>
      <c r="E14" s="15"/>
      <c r="F14" s="16" t="b">
        <v>0</v>
      </c>
      <c r="G14" s="16" t="b">
        <v>0</v>
      </c>
      <c r="H14" s="19" t="str">
        <f>IF(E14="","",IF(E14="",0,IF((COUNTIF($E14,"Senior")+COUNTIF($I14,"Senior")+COUNTIF($M14,"Senior")+COUNTIF($Q14,"Senior")+COUNTIF($U14,"Senior"))&gt;0,Lookup!$B$5,IF(E14="Value",IF(AND(COUNTA($E14,$I14,$M14,$Q14,$U14)&gt;=2,(COUNTIF($E14,"Extra")+COUNTIF($I14,"Extra")+COUNTIF($M14,"Extra")+COUNTIF($Q14,"Extra")+COUNTIF($U14,"Extra")+COUNTIF($E14,"Premium")+COUNTIF($I14,"Premium")+COUNTIF($M14,"Premium")+COUNTIF($Q14,"Premium")+COUNTIF($U14,"Premium"))&gt;0),Lookup!$B$4,0),IFERROR(VLOOKUP(E14,Lookup!$A$2:$B$5,2,FALSE),0))))+IF(AND(F14=TRUE,NOT((COUNTIF($E14,"Senior")+COUNTIF($I14,"Senior")+COUNTIF($M14,"Senior")+COUNTIF($Q14,"Senior")+COUNTIF($U14,"Senior"))&gt;0)),Lookup!$B$6,0)+IF(G14=TRUE,Lookup!$B$7,0))</f>
        <v/>
      </c>
      <c r="I14" s="15"/>
      <c r="J14" s="16" t="b">
        <v>0</v>
      </c>
      <c r="K14" s="16" t="b">
        <v>0</v>
      </c>
      <c r="L14" s="19" t="str">
        <f>IF(I14="","",IF(I14="",0,IF((COUNTIF($E14,"Senior")+COUNTIF($I14,"Senior")+COUNTIF($M14,"Senior")+COUNTIF($Q14,"Senior")+COUNTIF($U14,"Senior"))&gt;0,Lookup!$B$5,IF(I14="Value",IF(AND(COUNTA($E14,$I14,$M14,$Q14,$U14)&gt;=2,(COUNTIF($E14,"Extra")+COUNTIF($I14,"Extra")+COUNTIF($M14,"Extra")+COUNTIF($Q14,"Extra")+COUNTIF($U14,"Extra")+COUNTIF($E14,"Premium")+COUNTIF($I14,"Premium")+COUNTIF($M14,"Premium")+COUNTIF($Q14,"Premium")+COUNTIF($U14,"Premium"))&gt;0),Lookup!$B$4,0),IFERROR(VLOOKUP(I14,Lookup!$A$2:$B$5,2,FALSE),0))))+IF(AND(J14=TRUE,NOT((COUNTIF($E14,"Senior")+COUNTIF($I14,"Senior")+COUNTIF($M14,"Senior")+COUNTIF($Q14,"Senior")+COUNTIF($U14,"Senior"))&gt;0)),Lookup!$B$6,0)+IF(K14=TRUE,Lookup!$B$7,0))</f>
        <v/>
      </c>
      <c r="M14" s="15"/>
      <c r="N14" s="16" t="b">
        <v>0</v>
      </c>
      <c r="O14" s="16" t="b">
        <v>0</v>
      </c>
      <c r="P14" s="19" t="str">
        <f>IF(M14="","",IF(M14="",0,IF((COUNTIF($E14,"Senior")+COUNTIF($I14,"Senior")+COUNTIF($M14,"Senior")+COUNTIF($Q14,"Senior")+COUNTIF($U14,"Senior"))&gt;0,Lookup!$B$5,IF(M14="Value",IF(AND(COUNTA($E14,$I14,$M14,$Q14,$U14)&gt;=2,(COUNTIF($E14,"Extra")+COUNTIF($I14,"Extra")+COUNTIF($M14,"Extra")+COUNTIF($Q14,"Extra")+COUNTIF($U14,"Extra")+COUNTIF($E14,"Premium")+COUNTIF($I14,"Premium")+COUNTIF($M14,"Premium")+COUNTIF($Q14,"Premium")+COUNTIF($U14,"Premium"))&gt;0),Lookup!$B$4,0),IFERROR(VLOOKUP(M14,Lookup!$A$2:$B$5,2,FALSE),0))))+IF(AND(N14=TRUE,NOT((COUNTIF($E14,"Senior")+COUNTIF($I14,"Senior")+COUNTIF($M14,"Senior")+COUNTIF($Q14,"Senior")+COUNTIF($U14,"Senior"))&gt;0)),Lookup!$B$6,0)+IF(O14=TRUE,Lookup!$B$7,0))</f>
        <v/>
      </c>
      <c r="Q14" s="15"/>
      <c r="R14" s="16" t="b">
        <v>0</v>
      </c>
      <c r="S14" s="16" t="b">
        <v>0</v>
      </c>
      <c r="T14" s="19" t="str">
        <f>IF(Q14="","",IF(Q14="",0,IF((COUNTIF($E14,"Senior")+COUNTIF($I14,"Senior")+COUNTIF($M14,"Senior")+COUNTIF($Q14,"Senior")+COUNTIF($U14,"Senior"))&gt;0,Lookup!$B$5,IF(Q14="Value",IF(AND(COUNTA($E14,$I14,$M14,$Q14,$U14)&gt;=2,(COUNTIF($E14,"Extra")+COUNTIF($I14,"Extra")+COUNTIF($M14,"Extra")+COUNTIF($Q14,"Extra")+COUNTIF($U14,"Extra")+COUNTIF($E14,"Premium")+COUNTIF($I14,"Premium")+COUNTIF($M14,"Premium")+COUNTIF($Q14,"Premium")+COUNTIF($U14,"Premium"))&gt;0),Lookup!$B$4,0),IFERROR(VLOOKUP(Q14,Lookup!$A$2:$B$5,2,FALSE),0))))+IF(AND(R14=TRUE,NOT((COUNTIF($E14,"Senior")+COUNTIF($I14,"Senior")+COUNTIF($M14,"Senior")+COUNTIF($Q14,"Senior")+COUNTIF($U14,"Senior"))&gt;0)),Lookup!$B$6,0)+IF(S14=TRUE,Lookup!$B$7,0))</f>
        <v/>
      </c>
      <c r="U14" s="15"/>
      <c r="V14" s="16" t="b">
        <v>0</v>
      </c>
      <c r="W14" s="16" t="b">
        <v>0</v>
      </c>
      <c r="X14" s="19" t="str">
        <f>IF(U14="","",IF(U14="",0,IF((COUNTIF($E14,"Senior")+COUNTIF($I14,"Senior")+COUNTIF($M14,"Senior")+COUNTIF($Q14,"Senior")+COUNTIF($U14,"Senior"))&gt;0,Lookup!$B$5,IF(U14="Value",IF(AND(COUNTA($E14,$I14,$M14,$Q14,$U14)&gt;=2,(COUNTIF($E14,"Extra")+COUNTIF($I14,"Extra")+COUNTIF($M14,"Extra")+COUNTIF($Q14,"Extra")+COUNTIF($U14,"Extra")+COUNTIF($E14,"Premium")+COUNTIF($I14,"Premium")+COUNTIF($M14,"Premium")+COUNTIF($Q14,"Premium")+COUNTIF($U14,"Premium"))&gt;0),Lookup!$B$4,0),IFERROR(VLOOKUP(U14,Lookup!$A$2:$B$5,2,FALSE),0))))+IF(AND(V14=TRUE,NOT((COUNTIF($E14,"Senior")+COUNTIF($I14,"Senior")+COUNTIF($M14,"Senior")+COUNTIF($Q14,"Senior")+COUNTIF($U14,"Senior"))&gt;0)),Lookup!$B$6,0)+IF(W14=TRUE,Lookup!$B$7,0))</f>
        <v/>
      </c>
      <c r="Y14" s="14"/>
      <c r="Z14" s="27">
        <f>IFERROR(VLOOKUP(Y14,Lookup!$A$9:$B$12,2,FALSE),0)</f>
        <v>0</v>
      </c>
      <c r="AA14" s="21">
        <f>SUM(H14,L14,P14,T14,X14,Z14)</f>
        <v>0</v>
      </c>
      <c r="AB14" s="13"/>
      <c r="AC14" s="19">
        <f>IFERROR(AA14*AB14,0)</f>
        <v>0</v>
      </c>
      <c r="AD14" s="22">
        <f>IFERROR(AA14*(1-AB14),0)</f>
        <v>0</v>
      </c>
      <c r="AE14" s="14"/>
    </row>
    <row r="15" spans="1:31" ht="18" customHeight="1" x14ac:dyDescent="0.3">
      <c r="A15" s="10"/>
      <c r="B15" s="10"/>
      <c r="C15" s="10"/>
      <c r="D15" s="11"/>
      <c r="E15" s="12"/>
      <c r="F15" s="16" t="b">
        <v>0</v>
      </c>
      <c r="G15" s="16" t="b">
        <v>0</v>
      </c>
      <c r="H15" s="19" t="str">
        <f>IF(E15="","",IF(E15="",0,IF((COUNTIF($E15,"Senior")+COUNTIF($I15,"Senior")+COUNTIF($M15,"Senior")+COUNTIF($Q15,"Senior")+COUNTIF($U15,"Senior"))&gt;0,Lookup!$B$5,IF(E15="Value",IF(AND(COUNTA($E15,$I15,$M15,$Q15,$U15)&gt;=2,(COUNTIF($E15,"Extra")+COUNTIF($I15,"Extra")+COUNTIF($M15,"Extra")+COUNTIF($Q15,"Extra")+COUNTIF($U15,"Extra")+COUNTIF($E15,"Premium")+COUNTIF($I15,"Premium")+COUNTIF($M15,"Premium")+COUNTIF($Q15,"Premium")+COUNTIF($U15,"Premium"))&gt;0),Lookup!$B$4,0),IFERROR(VLOOKUP(E15,Lookup!$A$2:$B$5,2,FALSE),0))))+IF(AND(F15=TRUE,NOT((COUNTIF($E15,"Senior")+COUNTIF($I15,"Senior")+COUNTIF($M15,"Senior")+COUNTIF($Q15,"Senior")+COUNTIF($U15,"Senior"))&gt;0)),Lookup!$B$6,0)+IF(G15=TRUE,Lookup!$B$7,0))</f>
        <v/>
      </c>
      <c r="I15" s="12"/>
      <c r="J15" s="16" t="b">
        <v>0</v>
      </c>
      <c r="K15" s="16" t="b">
        <v>0</v>
      </c>
      <c r="L15" s="19" t="str">
        <f>IF(I15="","",IF(I15="",0,IF((COUNTIF($E15,"Senior")+COUNTIF($I15,"Senior")+COUNTIF($M15,"Senior")+COUNTIF($Q15,"Senior")+COUNTIF($U15,"Senior"))&gt;0,Lookup!$B$5,IF(I15="Value",IF(AND(COUNTA($E15,$I15,$M15,$Q15,$U15)&gt;=2,(COUNTIF($E15,"Extra")+COUNTIF($I15,"Extra")+COUNTIF($M15,"Extra")+COUNTIF($Q15,"Extra")+COUNTIF($U15,"Extra")+COUNTIF($E15,"Premium")+COUNTIF($I15,"Premium")+COUNTIF($M15,"Premium")+COUNTIF($Q15,"Premium")+COUNTIF($U15,"Premium"))&gt;0),Lookup!$B$4,0),IFERROR(VLOOKUP(I15,Lookup!$A$2:$B$5,2,FALSE),0))))+IF(AND(J15=TRUE,NOT((COUNTIF($E15,"Senior")+COUNTIF($I15,"Senior")+COUNTIF($M15,"Senior")+COUNTIF($Q15,"Senior")+COUNTIF($U15,"Senior"))&gt;0)),Lookup!$B$6,0)+IF(K15=TRUE,Lookup!$B$7,0))</f>
        <v/>
      </c>
      <c r="M15" s="12"/>
      <c r="N15" s="16" t="b">
        <v>0</v>
      </c>
      <c r="O15" s="16" t="b">
        <v>0</v>
      </c>
      <c r="P15" s="19" t="str">
        <f>IF(M15="","",IF(M15="",0,IF((COUNTIF($E15,"Senior")+COUNTIF($I15,"Senior")+COUNTIF($M15,"Senior")+COUNTIF($Q15,"Senior")+COUNTIF($U15,"Senior"))&gt;0,Lookup!$B$5,IF(M15="Value",IF(AND(COUNTA($E15,$I15,$M15,$Q15,$U15)&gt;=2,(COUNTIF($E15,"Extra")+COUNTIF($I15,"Extra")+COUNTIF($M15,"Extra")+COUNTIF($Q15,"Extra")+COUNTIF($U15,"Extra")+COUNTIF($E15,"Premium")+COUNTIF($I15,"Premium")+COUNTIF($M15,"Premium")+COUNTIF($Q15,"Premium")+COUNTIF($U15,"Premium"))&gt;0),Lookup!$B$4,0),IFERROR(VLOOKUP(M15,Lookup!$A$2:$B$5,2,FALSE),0))))+IF(AND(N15=TRUE,NOT((COUNTIF($E15,"Senior")+COUNTIF($I15,"Senior")+COUNTIF($M15,"Senior")+COUNTIF($Q15,"Senior")+COUNTIF($U15,"Senior"))&gt;0)),Lookup!$B$6,0)+IF(O15=TRUE,Lookup!$B$7,0))</f>
        <v/>
      </c>
      <c r="Q15" s="12"/>
      <c r="R15" s="16" t="b">
        <v>0</v>
      </c>
      <c r="S15" s="16" t="b">
        <v>0</v>
      </c>
      <c r="T15" s="19" t="str">
        <f>IF(Q15="","",IF(Q15="",0,IF((COUNTIF($E15,"Senior")+COUNTIF($I15,"Senior")+COUNTIF($M15,"Senior")+COUNTIF($Q15,"Senior")+COUNTIF($U15,"Senior"))&gt;0,Lookup!$B$5,IF(Q15="Value",IF(AND(COUNTA($E15,$I15,$M15,$Q15,$U15)&gt;=2,(COUNTIF($E15,"Extra")+COUNTIF($I15,"Extra")+COUNTIF($M15,"Extra")+COUNTIF($Q15,"Extra")+COUNTIF($U15,"Extra")+COUNTIF($E15,"Premium")+COUNTIF($I15,"Premium")+COUNTIF($M15,"Premium")+COUNTIF($Q15,"Premium")+COUNTIF($U15,"Premium"))&gt;0),Lookup!$B$4,0),IFERROR(VLOOKUP(Q15,Lookup!$A$2:$B$5,2,FALSE),0))))+IF(AND(R15=TRUE,NOT((COUNTIF($E15,"Senior")+COUNTIF($I15,"Senior")+COUNTIF($M15,"Senior")+COUNTIF($Q15,"Senior")+COUNTIF($U15,"Senior"))&gt;0)),Lookup!$B$6,0)+IF(S15=TRUE,Lookup!$B$7,0))</f>
        <v/>
      </c>
      <c r="U15" s="12"/>
      <c r="V15" s="16" t="b">
        <v>0</v>
      </c>
      <c r="W15" s="16" t="b">
        <v>0</v>
      </c>
      <c r="X15" s="19" t="str">
        <f>IF(U15="","",IF(U15="",0,IF((COUNTIF($E15,"Senior")+COUNTIF($I15,"Senior")+COUNTIF($M15,"Senior")+COUNTIF($Q15,"Senior")+COUNTIF($U15,"Senior"))&gt;0,Lookup!$B$5,IF(U15="Value",IF(AND(COUNTA($E15,$I15,$M15,$Q15,$U15)&gt;=2,(COUNTIF($E15,"Extra")+COUNTIF($I15,"Extra")+COUNTIF($M15,"Extra")+COUNTIF($Q15,"Extra")+COUNTIF($U15,"Extra")+COUNTIF($E15,"Premium")+COUNTIF($I15,"Premium")+COUNTIF($M15,"Premium")+COUNTIF($Q15,"Premium")+COUNTIF($U15,"Premium"))&gt;0),Lookup!$B$4,0),IFERROR(VLOOKUP(U15,Lookup!$A$2:$B$5,2,FALSE),0))))+IF(AND(V15=TRUE,NOT((COUNTIF($E15,"Senior")+COUNTIF($I15,"Senior")+COUNTIF($M15,"Senior")+COUNTIF($Q15,"Senior")+COUNTIF($U15,"Senior"))&gt;0)),Lookup!$B$6,0)+IF(W15=TRUE,Lookup!$B$7,0))</f>
        <v/>
      </c>
      <c r="Y15" s="10"/>
      <c r="Z15" s="26">
        <f>IFERROR(VLOOKUP(Y15,Lookup!$A$9:$B$12,2,FALSE),0)</f>
        <v>0</v>
      </c>
      <c r="AA15" s="20">
        <f>SUM(H15,L15,P15,T15,X15,Z15)</f>
        <v>0</v>
      </c>
      <c r="AB15" s="13"/>
      <c r="AC15" s="19">
        <f>IFERROR(AA15*AB15,0)</f>
        <v>0</v>
      </c>
      <c r="AD15" s="22">
        <f>IFERROR(AA15*(1-AB15),0)</f>
        <v>0</v>
      </c>
      <c r="AE15" s="10"/>
    </row>
    <row r="16" spans="1:31" ht="18" customHeight="1" x14ac:dyDescent="0.3">
      <c r="A16" s="14"/>
      <c r="B16" s="14"/>
      <c r="C16" s="14"/>
      <c r="D16" s="11"/>
      <c r="E16" s="15"/>
      <c r="F16" s="16" t="b">
        <v>0</v>
      </c>
      <c r="G16" s="16" t="b">
        <v>0</v>
      </c>
      <c r="H16" s="19" t="str">
        <f>IF(E16="","",IF(E16="",0,IF((COUNTIF($E16,"Senior")+COUNTIF($I16,"Senior")+COUNTIF($M16,"Senior")+COUNTIF($Q16,"Senior")+COUNTIF($U16,"Senior"))&gt;0,Lookup!$B$5,IF(E16="Value",IF(AND(COUNTA($E16,$I16,$M16,$Q16,$U16)&gt;=2,(COUNTIF($E16,"Extra")+COUNTIF($I16,"Extra")+COUNTIF($M16,"Extra")+COUNTIF($Q16,"Extra")+COUNTIF($U16,"Extra")+COUNTIF($E16,"Premium")+COUNTIF($I16,"Premium")+COUNTIF($M16,"Premium")+COUNTIF($Q16,"Premium")+COUNTIF($U16,"Premium"))&gt;0),Lookup!$B$4,0),IFERROR(VLOOKUP(E16,Lookup!$A$2:$B$5,2,FALSE),0))))+IF(AND(F16=TRUE,NOT((COUNTIF($E16,"Senior")+COUNTIF($I16,"Senior")+COUNTIF($M16,"Senior")+COUNTIF($Q16,"Senior")+COUNTIF($U16,"Senior"))&gt;0)),Lookup!$B$6,0)+IF(G16=TRUE,Lookup!$B$7,0))</f>
        <v/>
      </c>
      <c r="I16" s="15"/>
      <c r="J16" s="16" t="b">
        <v>0</v>
      </c>
      <c r="K16" s="16" t="b">
        <v>0</v>
      </c>
      <c r="L16" s="19" t="str">
        <f>IF(I16="","",IF(I16="",0,IF((COUNTIF($E16,"Senior")+COUNTIF($I16,"Senior")+COUNTIF($M16,"Senior")+COUNTIF($Q16,"Senior")+COUNTIF($U16,"Senior"))&gt;0,Lookup!$B$5,IF(I16="Value",IF(AND(COUNTA($E16,$I16,$M16,$Q16,$U16)&gt;=2,(COUNTIF($E16,"Extra")+COUNTIF($I16,"Extra")+COUNTIF($M16,"Extra")+COUNTIF($Q16,"Extra")+COUNTIF($U16,"Extra")+COUNTIF($E16,"Premium")+COUNTIF($I16,"Premium")+COUNTIF($M16,"Premium")+COUNTIF($Q16,"Premium")+COUNTIF($U16,"Premium"))&gt;0),Lookup!$B$4,0),IFERROR(VLOOKUP(I16,Lookup!$A$2:$B$5,2,FALSE),0))))+IF(AND(J16=TRUE,NOT((COUNTIF($E16,"Senior")+COUNTIF($I16,"Senior")+COUNTIF($M16,"Senior")+COUNTIF($Q16,"Senior")+COUNTIF($U16,"Senior"))&gt;0)),Lookup!$B$6,0)+IF(K16=TRUE,Lookup!$B$7,0))</f>
        <v/>
      </c>
      <c r="M16" s="15"/>
      <c r="N16" s="16" t="b">
        <v>0</v>
      </c>
      <c r="O16" s="16" t="b">
        <v>0</v>
      </c>
      <c r="P16" s="19" t="str">
        <f>IF(M16="","",IF(M16="",0,IF((COUNTIF($E16,"Senior")+COUNTIF($I16,"Senior")+COUNTIF($M16,"Senior")+COUNTIF($Q16,"Senior")+COUNTIF($U16,"Senior"))&gt;0,Lookup!$B$5,IF(M16="Value",IF(AND(COUNTA($E16,$I16,$M16,$Q16,$U16)&gt;=2,(COUNTIF($E16,"Extra")+COUNTIF($I16,"Extra")+COUNTIF($M16,"Extra")+COUNTIF($Q16,"Extra")+COUNTIF($U16,"Extra")+COUNTIF($E16,"Premium")+COUNTIF($I16,"Premium")+COUNTIF($M16,"Premium")+COUNTIF($Q16,"Premium")+COUNTIF($U16,"Premium"))&gt;0),Lookup!$B$4,0),IFERROR(VLOOKUP(M16,Lookup!$A$2:$B$5,2,FALSE),0))))+IF(AND(N16=TRUE,NOT((COUNTIF($E16,"Senior")+COUNTIF($I16,"Senior")+COUNTIF($M16,"Senior")+COUNTIF($Q16,"Senior")+COUNTIF($U16,"Senior"))&gt;0)),Lookup!$B$6,0)+IF(O16=TRUE,Lookup!$B$7,0))</f>
        <v/>
      </c>
      <c r="Q16" s="15"/>
      <c r="R16" s="16" t="b">
        <v>0</v>
      </c>
      <c r="S16" s="16" t="b">
        <v>0</v>
      </c>
      <c r="T16" s="19" t="str">
        <f>IF(Q16="","",IF(Q16="",0,IF((COUNTIF($E16,"Senior")+COUNTIF($I16,"Senior")+COUNTIF($M16,"Senior")+COUNTIF($Q16,"Senior")+COUNTIF($U16,"Senior"))&gt;0,Lookup!$B$5,IF(Q16="Value",IF(AND(COUNTA($E16,$I16,$M16,$Q16,$U16)&gt;=2,(COUNTIF($E16,"Extra")+COUNTIF($I16,"Extra")+COUNTIF($M16,"Extra")+COUNTIF($Q16,"Extra")+COUNTIF($U16,"Extra")+COUNTIF($E16,"Premium")+COUNTIF($I16,"Premium")+COUNTIF($M16,"Premium")+COUNTIF($Q16,"Premium")+COUNTIF($U16,"Premium"))&gt;0),Lookup!$B$4,0),IFERROR(VLOOKUP(Q16,Lookup!$A$2:$B$5,2,FALSE),0))))+IF(AND(R16=TRUE,NOT((COUNTIF($E16,"Senior")+COUNTIF($I16,"Senior")+COUNTIF($M16,"Senior")+COUNTIF($Q16,"Senior")+COUNTIF($U16,"Senior"))&gt;0)),Lookup!$B$6,0)+IF(S16=TRUE,Lookup!$B$7,0))</f>
        <v/>
      </c>
      <c r="U16" s="15"/>
      <c r="V16" s="16" t="b">
        <v>0</v>
      </c>
      <c r="W16" s="16" t="b">
        <v>0</v>
      </c>
      <c r="X16" s="19" t="str">
        <f>IF(U16="","",IF(U16="",0,IF((COUNTIF($E16,"Senior")+COUNTIF($I16,"Senior")+COUNTIF($M16,"Senior")+COUNTIF($Q16,"Senior")+COUNTIF($U16,"Senior"))&gt;0,Lookup!$B$5,IF(U16="Value",IF(AND(COUNTA($E16,$I16,$M16,$Q16,$U16)&gt;=2,(COUNTIF($E16,"Extra")+COUNTIF($I16,"Extra")+COUNTIF($M16,"Extra")+COUNTIF($Q16,"Extra")+COUNTIF($U16,"Extra")+COUNTIF($E16,"Premium")+COUNTIF($I16,"Premium")+COUNTIF($M16,"Premium")+COUNTIF($Q16,"Premium")+COUNTIF($U16,"Premium"))&gt;0),Lookup!$B$4,0),IFERROR(VLOOKUP(U16,Lookup!$A$2:$B$5,2,FALSE),0))))+IF(AND(V16=TRUE,NOT((COUNTIF($E16,"Senior")+COUNTIF($I16,"Senior")+COUNTIF($M16,"Senior")+COUNTIF($Q16,"Senior")+COUNTIF($U16,"Senior"))&gt;0)),Lookup!$B$6,0)+IF(W16=TRUE,Lookup!$B$7,0))</f>
        <v/>
      </c>
      <c r="Y16" s="14"/>
      <c r="Z16" s="27">
        <f>IFERROR(VLOOKUP(Y16,Lookup!$A$9:$B$12,2,FALSE),0)</f>
        <v>0</v>
      </c>
      <c r="AA16" s="21">
        <f>SUM(H16,L16,P16,T16,X16,Z16)</f>
        <v>0</v>
      </c>
      <c r="AB16" s="13"/>
      <c r="AC16" s="19">
        <f>IFERROR(AA16*AB16,0)</f>
        <v>0</v>
      </c>
      <c r="AD16" s="22">
        <f>IFERROR(AA16*(1-AB16),0)</f>
        <v>0</v>
      </c>
      <c r="AE16" s="14"/>
    </row>
    <row r="17" spans="1:31" ht="18" customHeight="1" x14ac:dyDescent="0.3">
      <c r="A17" s="10"/>
      <c r="B17" s="10"/>
      <c r="C17" s="10"/>
      <c r="D17" s="11"/>
      <c r="E17" s="12"/>
      <c r="F17" s="16" t="b">
        <v>0</v>
      </c>
      <c r="G17" s="16" t="b">
        <v>0</v>
      </c>
      <c r="H17" s="19" t="str">
        <f>IF(E17="","",IF(E17="",0,IF((COUNTIF($E17,"Senior")+COUNTIF($I17,"Senior")+COUNTIF($M17,"Senior")+COUNTIF($Q17,"Senior")+COUNTIF($U17,"Senior"))&gt;0,Lookup!$B$5,IF(E17="Value",IF(AND(COUNTA($E17,$I17,$M17,$Q17,$U17)&gt;=2,(COUNTIF($E17,"Extra")+COUNTIF($I17,"Extra")+COUNTIF($M17,"Extra")+COUNTIF($Q17,"Extra")+COUNTIF($U17,"Extra")+COUNTIF($E17,"Premium")+COUNTIF($I17,"Premium")+COUNTIF($M17,"Premium")+COUNTIF($Q17,"Premium")+COUNTIF($U17,"Premium"))&gt;0),Lookup!$B$4,0),IFERROR(VLOOKUP(E17,Lookup!$A$2:$B$5,2,FALSE),0))))+IF(AND(F17=TRUE,NOT((COUNTIF($E17,"Senior")+COUNTIF($I17,"Senior")+COUNTIF($M17,"Senior")+COUNTIF($Q17,"Senior")+COUNTIF($U17,"Senior"))&gt;0)),Lookup!$B$6,0)+IF(G17=TRUE,Lookup!$B$7,0))</f>
        <v/>
      </c>
      <c r="I17" s="12"/>
      <c r="J17" s="16" t="b">
        <v>0</v>
      </c>
      <c r="K17" s="16" t="b">
        <v>0</v>
      </c>
      <c r="L17" s="19" t="str">
        <f>IF(I17="","",IF(I17="",0,IF((COUNTIF($E17,"Senior")+COUNTIF($I17,"Senior")+COUNTIF($M17,"Senior")+COUNTIF($Q17,"Senior")+COUNTIF($U17,"Senior"))&gt;0,Lookup!$B$5,IF(I17="Value",IF(AND(COUNTA($E17,$I17,$M17,$Q17,$U17)&gt;=2,(COUNTIF($E17,"Extra")+COUNTIF($I17,"Extra")+COUNTIF($M17,"Extra")+COUNTIF($Q17,"Extra")+COUNTIF($U17,"Extra")+COUNTIF($E17,"Premium")+COUNTIF($I17,"Premium")+COUNTIF($M17,"Premium")+COUNTIF($Q17,"Premium")+COUNTIF($U17,"Premium"))&gt;0),Lookup!$B$4,0),IFERROR(VLOOKUP(I17,Lookup!$A$2:$B$5,2,FALSE),0))))+IF(AND(J17=TRUE,NOT((COUNTIF($E17,"Senior")+COUNTIF($I17,"Senior")+COUNTIF($M17,"Senior")+COUNTIF($Q17,"Senior")+COUNTIF($U17,"Senior"))&gt;0)),Lookup!$B$6,0)+IF(K17=TRUE,Lookup!$B$7,0))</f>
        <v/>
      </c>
      <c r="M17" s="12"/>
      <c r="N17" s="16" t="b">
        <v>0</v>
      </c>
      <c r="O17" s="16" t="b">
        <v>0</v>
      </c>
      <c r="P17" s="19" t="str">
        <f>IF(M17="","",IF(M17="",0,IF((COUNTIF($E17,"Senior")+COUNTIF($I17,"Senior")+COUNTIF($M17,"Senior")+COUNTIF($Q17,"Senior")+COUNTIF($U17,"Senior"))&gt;0,Lookup!$B$5,IF(M17="Value",IF(AND(COUNTA($E17,$I17,$M17,$Q17,$U17)&gt;=2,(COUNTIF($E17,"Extra")+COUNTIF($I17,"Extra")+COUNTIF($M17,"Extra")+COUNTIF($Q17,"Extra")+COUNTIF($U17,"Extra")+COUNTIF($E17,"Premium")+COUNTIF($I17,"Premium")+COUNTIF($M17,"Premium")+COUNTIF($Q17,"Premium")+COUNTIF($U17,"Premium"))&gt;0),Lookup!$B$4,0),IFERROR(VLOOKUP(M17,Lookup!$A$2:$B$5,2,FALSE),0))))+IF(AND(N17=TRUE,NOT((COUNTIF($E17,"Senior")+COUNTIF($I17,"Senior")+COUNTIF($M17,"Senior")+COUNTIF($Q17,"Senior")+COUNTIF($U17,"Senior"))&gt;0)),Lookup!$B$6,0)+IF(O17=TRUE,Lookup!$B$7,0))</f>
        <v/>
      </c>
      <c r="Q17" s="12"/>
      <c r="R17" s="16" t="b">
        <v>0</v>
      </c>
      <c r="S17" s="16" t="b">
        <v>0</v>
      </c>
      <c r="T17" s="19" t="str">
        <f>IF(Q17="","",IF(Q17="",0,IF((COUNTIF($E17,"Senior")+COUNTIF($I17,"Senior")+COUNTIF($M17,"Senior")+COUNTIF($Q17,"Senior")+COUNTIF($U17,"Senior"))&gt;0,Lookup!$B$5,IF(Q17="Value",IF(AND(COUNTA($E17,$I17,$M17,$Q17,$U17)&gt;=2,(COUNTIF($E17,"Extra")+COUNTIF($I17,"Extra")+COUNTIF($M17,"Extra")+COUNTIF($Q17,"Extra")+COUNTIF($U17,"Extra")+COUNTIF($E17,"Premium")+COUNTIF($I17,"Premium")+COUNTIF($M17,"Premium")+COUNTIF($Q17,"Premium")+COUNTIF($U17,"Premium"))&gt;0),Lookup!$B$4,0),IFERROR(VLOOKUP(Q17,Lookup!$A$2:$B$5,2,FALSE),0))))+IF(AND(R17=TRUE,NOT((COUNTIF($E17,"Senior")+COUNTIF($I17,"Senior")+COUNTIF($M17,"Senior")+COUNTIF($Q17,"Senior")+COUNTIF($U17,"Senior"))&gt;0)),Lookup!$B$6,0)+IF(S17=TRUE,Lookup!$B$7,0))</f>
        <v/>
      </c>
      <c r="U17" s="12"/>
      <c r="V17" s="16" t="b">
        <v>0</v>
      </c>
      <c r="W17" s="16" t="b">
        <v>0</v>
      </c>
      <c r="X17" s="19" t="str">
        <f>IF(U17="","",IF(U17="",0,IF((COUNTIF($E17,"Senior")+COUNTIF($I17,"Senior")+COUNTIF($M17,"Senior")+COUNTIF($Q17,"Senior")+COUNTIF($U17,"Senior"))&gt;0,Lookup!$B$5,IF(U17="Value",IF(AND(COUNTA($E17,$I17,$M17,$Q17,$U17)&gt;=2,(COUNTIF($E17,"Extra")+COUNTIF($I17,"Extra")+COUNTIF($M17,"Extra")+COUNTIF($Q17,"Extra")+COUNTIF($U17,"Extra")+COUNTIF($E17,"Premium")+COUNTIF($I17,"Premium")+COUNTIF($M17,"Premium")+COUNTIF($Q17,"Premium")+COUNTIF($U17,"Premium"))&gt;0),Lookup!$B$4,0),IFERROR(VLOOKUP(U17,Lookup!$A$2:$B$5,2,FALSE),0))))+IF(AND(V17=TRUE,NOT((COUNTIF($E17,"Senior")+COUNTIF($I17,"Senior")+COUNTIF($M17,"Senior")+COUNTIF($Q17,"Senior")+COUNTIF($U17,"Senior"))&gt;0)),Lookup!$B$6,0)+IF(W17=TRUE,Lookup!$B$7,0))</f>
        <v/>
      </c>
      <c r="Y17" s="10"/>
      <c r="Z17" s="26">
        <f>IFERROR(VLOOKUP(Y17,Lookup!$A$9:$B$12,2,FALSE),0)</f>
        <v>0</v>
      </c>
      <c r="AA17" s="20">
        <f>SUM(H17,L17,P17,T17,X17,Z17)</f>
        <v>0</v>
      </c>
      <c r="AB17" s="13"/>
      <c r="AC17" s="19">
        <f>IFERROR(AA17*AB17,0)</f>
        <v>0</v>
      </c>
      <c r="AD17" s="22">
        <f>IFERROR(AA17*(1-AB17),0)</f>
        <v>0</v>
      </c>
      <c r="AE17" s="10"/>
    </row>
    <row r="18" spans="1:31" ht="18" customHeight="1" x14ac:dyDescent="0.3">
      <c r="A18" s="14"/>
      <c r="B18" s="14"/>
      <c r="C18" s="14"/>
      <c r="D18" s="11"/>
      <c r="E18" s="15"/>
      <c r="F18" s="16" t="b">
        <v>0</v>
      </c>
      <c r="G18" s="16" t="b">
        <v>0</v>
      </c>
      <c r="H18" s="19" t="str">
        <f>IF(E18="","",IF(E18="",0,IF((COUNTIF($E18,"Senior")+COUNTIF($I18,"Senior")+COUNTIF($M18,"Senior")+COUNTIF($Q18,"Senior")+COUNTIF($U18,"Senior"))&gt;0,Lookup!$B$5,IF(E18="Value",IF(AND(COUNTA($E18,$I18,$M18,$Q18,$U18)&gt;=2,(COUNTIF($E18,"Extra")+COUNTIF($I18,"Extra")+COUNTIF($M18,"Extra")+COUNTIF($Q18,"Extra")+COUNTIF($U18,"Extra")+COUNTIF($E18,"Premium")+COUNTIF($I18,"Premium")+COUNTIF($M18,"Premium")+COUNTIF($Q18,"Premium")+COUNTIF($U18,"Premium"))&gt;0),Lookup!$B$4,0),IFERROR(VLOOKUP(E18,Lookup!$A$2:$B$5,2,FALSE),0))))+IF(AND(F18=TRUE,NOT((COUNTIF($E18,"Senior")+COUNTIF($I18,"Senior")+COUNTIF($M18,"Senior")+COUNTIF($Q18,"Senior")+COUNTIF($U18,"Senior"))&gt;0)),Lookup!$B$6,0)+IF(G18=TRUE,Lookup!$B$7,0))</f>
        <v/>
      </c>
      <c r="I18" s="15"/>
      <c r="J18" s="16" t="b">
        <v>0</v>
      </c>
      <c r="K18" s="16" t="b">
        <v>0</v>
      </c>
      <c r="L18" s="19" t="str">
        <f>IF(I18="","",IF(I18="",0,IF((COUNTIF($E18,"Senior")+COUNTIF($I18,"Senior")+COUNTIF($M18,"Senior")+COUNTIF($Q18,"Senior")+COUNTIF($U18,"Senior"))&gt;0,Lookup!$B$5,IF(I18="Value",IF(AND(COUNTA($E18,$I18,$M18,$Q18,$U18)&gt;=2,(COUNTIF($E18,"Extra")+COUNTIF($I18,"Extra")+COUNTIF($M18,"Extra")+COUNTIF($Q18,"Extra")+COUNTIF($U18,"Extra")+COUNTIF($E18,"Premium")+COUNTIF($I18,"Premium")+COUNTIF($M18,"Premium")+COUNTIF($Q18,"Premium")+COUNTIF($U18,"Premium"))&gt;0),Lookup!$B$4,0),IFERROR(VLOOKUP(I18,Lookup!$A$2:$B$5,2,FALSE),0))))+IF(AND(J18=TRUE,NOT((COUNTIF($E18,"Senior")+COUNTIF($I18,"Senior")+COUNTIF($M18,"Senior")+COUNTIF($Q18,"Senior")+COUNTIF($U18,"Senior"))&gt;0)),Lookup!$B$6,0)+IF(K18=TRUE,Lookup!$B$7,0))</f>
        <v/>
      </c>
      <c r="M18" s="15"/>
      <c r="N18" s="16" t="b">
        <v>0</v>
      </c>
      <c r="O18" s="16" t="b">
        <v>0</v>
      </c>
      <c r="P18" s="19" t="str">
        <f>IF(M18="","",IF(M18="",0,IF((COUNTIF($E18,"Senior")+COUNTIF($I18,"Senior")+COUNTIF($M18,"Senior")+COUNTIF($Q18,"Senior")+COUNTIF($U18,"Senior"))&gt;0,Lookup!$B$5,IF(M18="Value",IF(AND(COUNTA($E18,$I18,$M18,$Q18,$U18)&gt;=2,(COUNTIF($E18,"Extra")+COUNTIF($I18,"Extra")+COUNTIF($M18,"Extra")+COUNTIF($Q18,"Extra")+COUNTIF($U18,"Extra")+COUNTIF($E18,"Premium")+COUNTIF($I18,"Premium")+COUNTIF($M18,"Premium")+COUNTIF($Q18,"Premium")+COUNTIF($U18,"Premium"))&gt;0),Lookup!$B$4,0),IFERROR(VLOOKUP(M18,Lookup!$A$2:$B$5,2,FALSE),0))))+IF(AND(N18=TRUE,NOT((COUNTIF($E18,"Senior")+COUNTIF($I18,"Senior")+COUNTIF($M18,"Senior")+COUNTIF($Q18,"Senior")+COUNTIF($U18,"Senior"))&gt;0)),Lookup!$B$6,0)+IF(O18=TRUE,Lookup!$B$7,0))</f>
        <v/>
      </c>
      <c r="Q18" s="15"/>
      <c r="R18" s="16" t="b">
        <v>0</v>
      </c>
      <c r="S18" s="16" t="b">
        <v>0</v>
      </c>
      <c r="T18" s="19" t="str">
        <f>IF(Q18="","",IF(Q18="",0,IF((COUNTIF($E18,"Senior")+COUNTIF($I18,"Senior")+COUNTIF($M18,"Senior")+COUNTIF($Q18,"Senior")+COUNTIF($U18,"Senior"))&gt;0,Lookup!$B$5,IF(Q18="Value",IF(AND(COUNTA($E18,$I18,$M18,$Q18,$U18)&gt;=2,(COUNTIF($E18,"Extra")+COUNTIF($I18,"Extra")+COUNTIF($M18,"Extra")+COUNTIF($Q18,"Extra")+COUNTIF($U18,"Extra")+COUNTIF($E18,"Premium")+COUNTIF($I18,"Premium")+COUNTIF($M18,"Premium")+COUNTIF($Q18,"Premium")+COUNTIF($U18,"Premium"))&gt;0),Lookup!$B$4,0),IFERROR(VLOOKUP(Q18,Lookup!$A$2:$B$5,2,FALSE),0))))+IF(AND(R18=TRUE,NOT((COUNTIF($E18,"Senior")+COUNTIF($I18,"Senior")+COUNTIF($M18,"Senior")+COUNTIF($Q18,"Senior")+COUNTIF($U18,"Senior"))&gt;0)),Lookup!$B$6,0)+IF(S18=TRUE,Lookup!$B$7,0))</f>
        <v/>
      </c>
      <c r="U18" s="15"/>
      <c r="V18" s="16" t="b">
        <v>0</v>
      </c>
      <c r="W18" s="16" t="b">
        <v>0</v>
      </c>
      <c r="X18" s="19" t="str">
        <f>IF(U18="","",IF(U18="",0,IF((COUNTIF($E18,"Senior")+COUNTIF($I18,"Senior")+COUNTIF($M18,"Senior")+COUNTIF($Q18,"Senior")+COUNTIF($U18,"Senior"))&gt;0,Lookup!$B$5,IF(U18="Value",IF(AND(COUNTA($E18,$I18,$M18,$Q18,$U18)&gt;=2,(COUNTIF($E18,"Extra")+COUNTIF($I18,"Extra")+COUNTIF($M18,"Extra")+COUNTIF($Q18,"Extra")+COUNTIF($U18,"Extra")+COUNTIF($E18,"Premium")+COUNTIF($I18,"Premium")+COUNTIF($M18,"Premium")+COUNTIF($Q18,"Premium")+COUNTIF($U18,"Premium"))&gt;0),Lookup!$B$4,0),IFERROR(VLOOKUP(U18,Lookup!$A$2:$B$5,2,FALSE),0))))+IF(AND(V18=TRUE,NOT((COUNTIF($E18,"Senior")+COUNTIF($I18,"Senior")+COUNTIF($M18,"Senior")+COUNTIF($Q18,"Senior")+COUNTIF($U18,"Senior"))&gt;0)),Lookup!$B$6,0)+IF(W18=TRUE,Lookup!$B$7,0))</f>
        <v/>
      </c>
      <c r="Y18" s="14"/>
      <c r="Z18" s="27">
        <f>IFERROR(VLOOKUP(Y18,Lookup!$A$9:$B$12,2,FALSE),0)</f>
        <v>0</v>
      </c>
      <c r="AA18" s="21">
        <f>SUM(H18,L18,P18,T18,X18,Z18)</f>
        <v>0</v>
      </c>
      <c r="AB18" s="13"/>
      <c r="AC18" s="19">
        <f>IFERROR(AA18*AB18,0)</f>
        <v>0</v>
      </c>
      <c r="AD18" s="22">
        <f>IFERROR(AA18*(1-AB18),0)</f>
        <v>0</v>
      </c>
      <c r="AE18" s="14"/>
    </row>
    <row r="19" spans="1:31" ht="18" customHeight="1" x14ac:dyDescent="0.3">
      <c r="A19" s="10"/>
      <c r="B19" s="10"/>
      <c r="C19" s="10"/>
      <c r="D19" s="11"/>
      <c r="E19" s="12"/>
      <c r="F19" s="16" t="b">
        <v>0</v>
      </c>
      <c r="G19" s="16" t="b">
        <v>0</v>
      </c>
      <c r="H19" s="19" t="str">
        <f>IF(E19="","",IF(E19="",0,IF((COUNTIF($E19,"Senior")+COUNTIF($I19,"Senior")+COUNTIF($M19,"Senior")+COUNTIF($Q19,"Senior")+COUNTIF($U19,"Senior"))&gt;0,Lookup!$B$5,IF(E19="Value",IF(AND(COUNTA($E19,$I19,$M19,$Q19,$U19)&gt;=2,(COUNTIF($E19,"Extra")+COUNTIF($I19,"Extra")+COUNTIF($M19,"Extra")+COUNTIF($Q19,"Extra")+COUNTIF($U19,"Extra")+COUNTIF($E19,"Premium")+COUNTIF($I19,"Premium")+COUNTIF($M19,"Premium")+COUNTIF($Q19,"Premium")+COUNTIF($U19,"Premium"))&gt;0),Lookup!$B$4,0),IFERROR(VLOOKUP(E19,Lookup!$A$2:$B$5,2,FALSE),0))))+IF(AND(F19=TRUE,NOT((COUNTIF($E19,"Senior")+COUNTIF($I19,"Senior")+COUNTIF($M19,"Senior")+COUNTIF($Q19,"Senior")+COUNTIF($U19,"Senior"))&gt;0)),Lookup!$B$6,0)+IF(G19=TRUE,Lookup!$B$7,0))</f>
        <v/>
      </c>
      <c r="I19" s="12"/>
      <c r="J19" s="16" t="b">
        <v>0</v>
      </c>
      <c r="K19" s="16" t="b">
        <v>0</v>
      </c>
      <c r="L19" s="19" t="str">
        <f>IF(I19="","",IF(I19="",0,IF((COUNTIF($E19,"Senior")+COUNTIF($I19,"Senior")+COUNTIF($M19,"Senior")+COUNTIF($Q19,"Senior")+COUNTIF($U19,"Senior"))&gt;0,Lookup!$B$5,IF(I19="Value",IF(AND(COUNTA($E19,$I19,$M19,$Q19,$U19)&gt;=2,(COUNTIF($E19,"Extra")+COUNTIF($I19,"Extra")+COUNTIF($M19,"Extra")+COUNTIF($Q19,"Extra")+COUNTIF($U19,"Extra")+COUNTIF($E19,"Premium")+COUNTIF($I19,"Premium")+COUNTIF($M19,"Premium")+COUNTIF($Q19,"Premium")+COUNTIF($U19,"Premium"))&gt;0),Lookup!$B$4,0),IFERROR(VLOOKUP(I19,Lookup!$A$2:$B$5,2,FALSE),0))))+IF(AND(J19=TRUE,NOT((COUNTIF($E19,"Senior")+COUNTIF($I19,"Senior")+COUNTIF($M19,"Senior")+COUNTIF($Q19,"Senior")+COUNTIF($U19,"Senior"))&gt;0)),Lookup!$B$6,0)+IF(K19=TRUE,Lookup!$B$7,0))</f>
        <v/>
      </c>
      <c r="M19" s="12"/>
      <c r="N19" s="16" t="b">
        <v>0</v>
      </c>
      <c r="O19" s="16" t="b">
        <v>0</v>
      </c>
      <c r="P19" s="19" t="str">
        <f>IF(M19="","",IF(M19="",0,IF((COUNTIF($E19,"Senior")+COUNTIF($I19,"Senior")+COUNTIF($M19,"Senior")+COUNTIF($Q19,"Senior")+COUNTIF($U19,"Senior"))&gt;0,Lookup!$B$5,IF(M19="Value",IF(AND(COUNTA($E19,$I19,$M19,$Q19,$U19)&gt;=2,(COUNTIF($E19,"Extra")+COUNTIF($I19,"Extra")+COUNTIF($M19,"Extra")+COUNTIF($Q19,"Extra")+COUNTIF($U19,"Extra")+COUNTIF($E19,"Premium")+COUNTIF($I19,"Premium")+COUNTIF($M19,"Premium")+COUNTIF($Q19,"Premium")+COUNTIF($U19,"Premium"))&gt;0),Lookup!$B$4,0),IFERROR(VLOOKUP(M19,Lookup!$A$2:$B$5,2,FALSE),0))))+IF(AND(N19=TRUE,NOT((COUNTIF($E19,"Senior")+COUNTIF($I19,"Senior")+COUNTIF($M19,"Senior")+COUNTIF($Q19,"Senior")+COUNTIF($U19,"Senior"))&gt;0)),Lookup!$B$6,0)+IF(O19=TRUE,Lookup!$B$7,0))</f>
        <v/>
      </c>
      <c r="Q19" s="12"/>
      <c r="R19" s="16" t="b">
        <v>0</v>
      </c>
      <c r="S19" s="16" t="b">
        <v>0</v>
      </c>
      <c r="T19" s="19" t="str">
        <f>IF(Q19="","",IF(Q19="",0,IF((COUNTIF($E19,"Senior")+COUNTIF($I19,"Senior")+COUNTIF($M19,"Senior")+COUNTIF($Q19,"Senior")+COUNTIF($U19,"Senior"))&gt;0,Lookup!$B$5,IF(Q19="Value",IF(AND(COUNTA($E19,$I19,$M19,$Q19,$U19)&gt;=2,(COUNTIF($E19,"Extra")+COUNTIF($I19,"Extra")+COUNTIF($M19,"Extra")+COUNTIF($Q19,"Extra")+COUNTIF($U19,"Extra")+COUNTIF($E19,"Premium")+COUNTIF($I19,"Premium")+COUNTIF($M19,"Premium")+COUNTIF($Q19,"Premium")+COUNTIF($U19,"Premium"))&gt;0),Lookup!$B$4,0),IFERROR(VLOOKUP(Q19,Lookup!$A$2:$B$5,2,FALSE),0))))+IF(AND(R19=TRUE,NOT((COUNTIF($E19,"Senior")+COUNTIF($I19,"Senior")+COUNTIF($M19,"Senior")+COUNTIF($Q19,"Senior")+COUNTIF($U19,"Senior"))&gt;0)),Lookup!$B$6,0)+IF(S19=TRUE,Lookup!$B$7,0))</f>
        <v/>
      </c>
      <c r="U19" s="12"/>
      <c r="V19" s="16" t="b">
        <v>0</v>
      </c>
      <c r="W19" s="16" t="b">
        <v>0</v>
      </c>
      <c r="X19" s="19" t="str">
        <f>IF(U19="","",IF(U19="",0,IF((COUNTIF($E19,"Senior")+COUNTIF($I19,"Senior")+COUNTIF($M19,"Senior")+COUNTIF($Q19,"Senior")+COUNTIF($U19,"Senior"))&gt;0,Lookup!$B$5,IF(U19="Value",IF(AND(COUNTA($E19,$I19,$M19,$Q19,$U19)&gt;=2,(COUNTIF($E19,"Extra")+COUNTIF($I19,"Extra")+COUNTIF($M19,"Extra")+COUNTIF($Q19,"Extra")+COUNTIF($U19,"Extra")+COUNTIF($E19,"Premium")+COUNTIF($I19,"Premium")+COUNTIF($M19,"Premium")+COUNTIF($Q19,"Premium")+COUNTIF($U19,"Premium"))&gt;0),Lookup!$B$4,0),IFERROR(VLOOKUP(U19,Lookup!$A$2:$B$5,2,FALSE),0))))+IF(AND(V19=TRUE,NOT((COUNTIF($E19,"Senior")+COUNTIF($I19,"Senior")+COUNTIF($M19,"Senior")+COUNTIF($Q19,"Senior")+COUNTIF($U19,"Senior"))&gt;0)),Lookup!$B$6,0)+IF(W19=TRUE,Lookup!$B$7,0))</f>
        <v/>
      </c>
      <c r="Y19" s="10"/>
      <c r="Z19" s="26">
        <f>IFERROR(VLOOKUP(Y19,Lookup!$A$9:$B$12,2,FALSE),0)</f>
        <v>0</v>
      </c>
      <c r="AA19" s="20">
        <f>SUM(H19,L19,P19,T19,X19,Z19)</f>
        <v>0</v>
      </c>
      <c r="AB19" s="13"/>
      <c r="AC19" s="19">
        <f>IFERROR(AA19*AB19,0)</f>
        <v>0</v>
      </c>
      <c r="AD19" s="22">
        <f>IFERROR(AA19*(1-AB19),0)</f>
        <v>0</v>
      </c>
      <c r="AE19" s="10"/>
    </row>
    <row r="20" spans="1:31" ht="18" customHeight="1" x14ac:dyDescent="0.3">
      <c r="A20" s="14"/>
      <c r="B20" s="14"/>
      <c r="C20" s="14"/>
      <c r="D20" s="11"/>
      <c r="E20" s="15"/>
      <c r="F20" s="16" t="b">
        <v>0</v>
      </c>
      <c r="G20" s="16" t="b">
        <v>0</v>
      </c>
      <c r="H20" s="19" t="str">
        <f>IF(E20="","",IF(E20="",0,IF((COUNTIF($E20,"Senior")+COUNTIF($I20,"Senior")+COUNTIF($M20,"Senior")+COUNTIF($Q20,"Senior")+COUNTIF($U20,"Senior"))&gt;0,Lookup!$B$5,IF(E20="Value",IF(AND(COUNTA($E20,$I20,$M20,$Q20,$U20)&gt;=2,(COUNTIF($E20,"Extra")+COUNTIF($I20,"Extra")+COUNTIF($M20,"Extra")+COUNTIF($Q20,"Extra")+COUNTIF($U20,"Extra")+COUNTIF($E20,"Premium")+COUNTIF($I20,"Premium")+COUNTIF($M20,"Premium")+COUNTIF($Q20,"Premium")+COUNTIF($U20,"Premium"))&gt;0),Lookup!$B$4,0),IFERROR(VLOOKUP(E20,Lookup!$A$2:$B$5,2,FALSE),0))))+IF(AND(F20=TRUE,NOT((COUNTIF($E20,"Senior")+COUNTIF($I20,"Senior")+COUNTIF($M20,"Senior")+COUNTIF($Q20,"Senior")+COUNTIF($U20,"Senior"))&gt;0)),Lookup!$B$6,0)+IF(G20=TRUE,Lookup!$B$7,0))</f>
        <v/>
      </c>
      <c r="I20" s="15"/>
      <c r="J20" s="16" t="b">
        <v>0</v>
      </c>
      <c r="K20" s="16" t="b">
        <v>0</v>
      </c>
      <c r="L20" s="19" t="str">
        <f>IF(I20="","",IF(I20="",0,IF((COUNTIF($E20,"Senior")+COUNTIF($I20,"Senior")+COUNTIF($M20,"Senior")+COUNTIF($Q20,"Senior")+COUNTIF($U20,"Senior"))&gt;0,Lookup!$B$5,IF(I20="Value",IF(AND(COUNTA($E20,$I20,$M20,$Q20,$U20)&gt;=2,(COUNTIF($E20,"Extra")+COUNTIF($I20,"Extra")+COUNTIF($M20,"Extra")+COUNTIF($Q20,"Extra")+COUNTIF($U20,"Extra")+COUNTIF($E20,"Premium")+COUNTIF($I20,"Premium")+COUNTIF($M20,"Premium")+COUNTIF($Q20,"Premium")+COUNTIF($U20,"Premium"))&gt;0),Lookup!$B$4,0),IFERROR(VLOOKUP(I20,Lookup!$A$2:$B$5,2,FALSE),0))))+IF(AND(J20=TRUE,NOT((COUNTIF($E20,"Senior")+COUNTIF($I20,"Senior")+COUNTIF($M20,"Senior")+COUNTIF($Q20,"Senior")+COUNTIF($U20,"Senior"))&gt;0)),Lookup!$B$6,0)+IF(K20=TRUE,Lookup!$B$7,0))</f>
        <v/>
      </c>
      <c r="M20" s="15"/>
      <c r="N20" s="16" t="b">
        <v>0</v>
      </c>
      <c r="O20" s="16" t="b">
        <v>0</v>
      </c>
      <c r="P20" s="19" t="str">
        <f>IF(M20="","",IF(M20="",0,IF((COUNTIF($E20,"Senior")+COUNTIF($I20,"Senior")+COUNTIF($M20,"Senior")+COUNTIF($Q20,"Senior")+COUNTIF($U20,"Senior"))&gt;0,Lookup!$B$5,IF(M20="Value",IF(AND(COUNTA($E20,$I20,$M20,$Q20,$U20)&gt;=2,(COUNTIF($E20,"Extra")+COUNTIF($I20,"Extra")+COUNTIF($M20,"Extra")+COUNTIF($Q20,"Extra")+COUNTIF($U20,"Extra")+COUNTIF($E20,"Premium")+COUNTIF($I20,"Premium")+COUNTIF($M20,"Premium")+COUNTIF($Q20,"Premium")+COUNTIF($U20,"Premium"))&gt;0),Lookup!$B$4,0),IFERROR(VLOOKUP(M20,Lookup!$A$2:$B$5,2,FALSE),0))))+IF(AND(N20=TRUE,NOT((COUNTIF($E20,"Senior")+COUNTIF($I20,"Senior")+COUNTIF($M20,"Senior")+COUNTIF($Q20,"Senior")+COUNTIF($U20,"Senior"))&gt;0)),Lookup!$B$6,0)+IF(O20=TRUE,Lookup!$B$7,0))</f>
        <v/>
      </c>
      <c r="Q20" s="15"/>
      <c r="R20" s="16" t="b">
        <v>0</v>
      </c>
      <c r="S20" s="16" t="b">
        <v>0</v>
      </c>
      <c r="T20" s="19" t="str">
        <f>IF(Q20="","",IF(Q20="",0,IF((COUNTIF($E20,"Senior")+COUNTIF($I20,"Senior")+COUNTIF($M20,"Senior")+COUNTIF($Q20,"Senior")+COUNTIF($U20,"Senior"))&gt;0,Lookup!$B$5,IF(Q20="Value",IF(AND(COUNTA($E20,$I20,$M20,$Q20,$U20)&gt;=2,(COUNTIF($E20,"Extra")+COUNTIF($I20,"Extra")+COUNTIF($M20,"Extra")+COUNTIF($Q20,"Extra")+COUNTIF($U20,"Extra")+COUNTIF($E20,"Premium")+COUNTIF($I20,"Premium")+COUNTIF($M20,"Premium")+COUNTIF($Q20,"Premium")+COUNTIF($U20,"Premium"))&gt;0),Lookup!$B$4,0),IFERROR(VLOOKUP(Q20,Lookup!$A$2:$B$5,2,FALSE),0))))+IF(AND(R20=TRUE,NOT((COUNTIF($E20,"Senior")+COUNTIF($I20,"Senior")+COUNTIF($M20,"Senior")+COUNTIF($Q20,"Senior")+COUNTIF($U20,"Senior"))&gt;0)),Lookup!$B$6,0)+IF(S20=TRUE,Lookup!$B$7,0))</f>
        <v/>
      </c>
      <c r="U20" s="15"/>
      <c r="V20" s="16" t="b">
        <v>0</v>
      </c>
      <c r="W20" s="16" t="b">
        <v>0</v>
      </c>
      <c r="X20" s="19" t="str">
        <f>IF(U20="","",IF(U20="",0,IF((COUNTIF($E20,"Senior")+COUNTIF($I20,"Senior")+COUNTIF($M20,"Senior")+COUNTIF($Q20,"Senior")+COUNTIF($U20,"Senior"))&gt;0,Lookup!$B$5,IF(U20="Value",IF(AND(COUNTA($E20,$I20,$M20,$Q20,$U20)&gt;=2,(COUNTIF($E20,"Extra")+COUNTIF($I20,"Extra")+COUNTIF($M20,"Extra")+COUNTIF($Q20,"Extra")+COUNTIF($U20,"Extra")+COUNTIF($E20,"Premium")+COUNTIF($I20,"Premium")+COUNTIF($M20,"Premium")+COUNTIF($Q20,"Premium")+COUNTIF($U20,"Premium"))&gt;0),Lookup!$B$4,0),IFERROR(VLOOKUP(U20,Lookup!$A$2:$B$5,2,FALSE),0))))+IF(AND(V20=TRUE,NOT((COUNTIF($E20,"Senior")+COUNTIF($I20,"Senior")+COUNTIF($M20,"Senior")+COUNTIF($Q20,"Senior")+COUNTIF($U20,"Senior"))&gt;0)),Lookup!$B$6,0)+IF(W20=TRUE,Lookup!$B$7,0))</f>
        <v/>
      </c>
      <c r="Y20" s="14"/>
      <c r="Z20" s="27">
        <f>IFERROR(VLOOKUP(Y20,Lookup!$A$9:$B$12,2,FALSE),0)</f>
        <v>0</v>
      </c>
      <c r="AA20" s="21">
        <f>SUM(H20,L20,P20,T20,X20,Z20)</f>
        <v>0</v>
      </c>
      <c r="AB20" s="13"/>
      <c r="AC20" s="19">
        <f>IFERROR(AA20*AB20,0)</f>
        <v>0</v>
      </c>
      <c r="AD20" s="22">
        <f>IFERROR(AA20*(1-AB20),0)</f>
        <v>0</v>
      </c>
      <c r="AE20" s="14"/>
    </row>
    <row r="21" spans="1:31" ht="18" customHeight="1" x14ac:dyDescent="0.3">
      <c r="A21" s="10"/>
      <c r="B21" s="10"/>
      <c r="C21" s="10"/>
      <c r="D21" s="11"/>
      <c r="E21" s="12"/>
      <c r="F21" s="16" t="b">
        <v>0</v>
      </c>
      <c r="G21" s="16" t="b">
        <v>0</v>
      </c>
      <c r="H21" s="19" t="str">
        <f>IF(E21="","",IF(E21="",0,IF((COUNTIF($E21,"Senior")+COUNTIF($I21,"Senior")+COUNTIF($M21,"Senior")+COUNTIF($Q21,"Senior")+COUNTIF($U21,"Senior"))&gt;0,Lookup!$B$5,IF(E21="Value",IF(AND(COUNTA($E21,$I21,$M21,$Q21,$U21)&gt;=2,(COUNTIF($E21,"Extra")+COUNTIF($I21,"Extra")+COUNTIF($M21,"Extra")+COUNTIF($Q21,"Extra")+COUNTIF($U21,"Extra")+COUNTIF($E21,"Premium")+COUNTIF($I21,"Premium")+COUNTIF($M21,"Premium")+COUNTIF($Q21,"Premium")+COUNTIF($U21,"Premium"))&gt;0),Lookup!$B$4,0),IFERROR(VLOOKUP(E21,Lookup!$A$2:$B$5,2,FALSE),0))))+IF(AND(F21=TRUE,NOT((COUNTIF($E21,"Senior")+COUNTIF($I21,"Senior")+COUNTIF($M21,"Senior")+COUNTIF($Q21,"Senior")+COUNTIF($U21,"Senior"))&gt;0)),Lookup!$B$6,0)+IF(G21=TRUE,Lookup!$B$7,0))</f>
        <v/>
      </c>
      <c r="I21" s="12"/>
      <c r="J21" s="16" t="b">
        <v>0</v>
      </c>
      <c r="K21" s="16" t="b">
        <v>0</v>
      </c>
      <c r="L21" s="19" t="str">
        <f>IF(I21="","",IF(I21="",0,IF((COUNTIF($E21,"Senior")+COUNTIF($I21,"Senior")+COUNTIF($M21,"Senior")+COUNTIF($Q21,"Senior")+COUNTIF($U21,"Senior"))&gt;0,Lookup!$B$5,IF(I21="Value",IF(AND(COUNTA($E21,$I21,$M21,$Q21,$U21)&gt;=2,(COUNTIF($E21,"Extra")+COUNTIF($I21,"Extra")+COUNTIF($M21,"Extra")+COUNTIF($Q21,"Extra")+COUNTIF($U21,"Extra")+COUNTIF($E21,"Premium")+COUNTIF($I21,"Premium")+COUNTIF($M21,"Premium")+COUNTIF($Q21,"Premium")+COUNTIF($U21,"Premium"))&gt;0),Lookup!$B$4,0),IFERROR(VLOOKUP(I21,Lookup!$A$2:$B$5,2,FALSE),0))))+IF(AND(J21=TRUE,NOT((COUNTIF($E21,"Senior")+COUNTIF($I21,"Senior")+COUNTIF($M21,"Senior")+COUNTIF($Q21,"Senior")+COUNTIF($U21,"Senior"))&gt;0)),Lookup!$B$6,0)+IF(K21=TRUE,Lookup!$B$7,0))</f>
        <v/>
      </c>
      <c r="M21" s="12"/>
      <c r="N21" s="16" t="b">
        <v>0</v>
      </c>
      <c r="O21" s="16" t="b">
        <v>0</v>
      </c>
      <c r="P21" s="19" t="str">
        <f>IF(M21="","",IF(M21="",0,IF((COUNTIF($E21,"Senior")+COUNTIF($I21,"Senior")+COUNTIF($M21,"Senior")+COUNTIF($Q21,"Senior")+COUNTIF($U21,"Senior"))&gt;0,Lookup!$B$5,IF(M21="Value",IF(AND(COUNTA($E21,$I21,$M21,$Q21,$U21)&gt;=2,(COUNTIF($E21,"Extra")+COUNTIF($I21,"Extra")+COUNTIF($M21,"Extra")+COUNTIF($Q21,"Extra")+COUNTIF($U21,"Extra")+COUNTIF($E21,"Premium")+COUNTIF($I21,"Premium")+COUNTIF($M21,"Premium")+COUNTIF($Q21,"Premium")+COUNTIF($U21,"Premium"))&gt;0),Lookup!$B$4,0),IFERROR(VLOOKUP(M21,Lookup!$A$2:$B$5,2,FALSE),0))))+IF(AND(N21=TRUE,NOT((COUNTIF($E21,"Senior")+COUNTIF($I21,"Senior")+COUNTIF($M21,"Senior")+COUNTIF($Q21,"Senior")+COUNTIF($U21,"Senior"))&gt;0)),Lookup!$B$6,0)+IF(O21=TRUE,Lookup!$B$7,0))</f>
        <v/>
      </c>
      <c r="Q21" s="12"/>
      <c r="R21" s="16" t="b">
        <v>0</v>
      </c>
      <c r="S21" s="16" t="b">
        <v>0</v>
      </c>
      <c r="T21" s="19" t="str">
        <f>IF(Q21="","",IF(Q21="",0,IF((COUNTIF($E21,"Senior")+COUNTIF($I21,"Senior")+COUNTIF($M21,"Senior")+COUNTIF($Q21,"Senior")+COUNTIF($U21,"Senior"))&gt;0,Lookup!$B$5,IF(Q21="Value",IF(AND(COUNTA($E21,$I21,$M21,$Q21,$U21)&gt;=2,(COUNTIF($E21,"Extra")+COUNTIF($I21,"Extra")+COUNTIF($M21,"Extra")+COUNTIF($Q21,"Extra")+COUNTIF($U21,"Extra")+COUNTIF($E21,"Premium")+COUNTIF($I21,"Premium")+COUNTIF($M21,"Premium")+COUNTIF($Q21,"Premium")+COUNTIF($U21,"Premium"))&gt;0),Lookup!$B$4,0),IFERROR(VLOOKUP(Q21,Lookup!$A$2:$B$5,2,FALSE),0))))+IF(AND(R21=TRUE,NOT((COUNTIF($E21,"Senior")+COUNTIF($I21,"Senior")+COUNTIF($M21,"Senior")+COUNTIF($Q21,"Senior")+COUNTIF($U21,"Senior"))&gt;0)),Lookup!$B$6,0)+IF(S21=TRUE,Lookup!$B$7,0))</f>
        <v/>
      </c>
      <c r="U21" s="12"/>
      <c r="V21" s="16" t="b">
        <v>0</v>
      </c>
      <c r="W21" s="16" t="b">
        <v>0</v>
      </c>
      <c r="X21" s="19" t="str">
        <f>IF(U21="","",IF(U21="",0,IF((COUNTIF($E21,"Senior")+COUNTIF($I21,"Senior")+COUNTIF($M21,"Senior")+COUNTIF($Q21,"Senior")+COUNTIF($U21,"Senior"))&gt;0,Lookup!$B$5,IF(U21="Value",IF(AND(COUNTA($E21,$I21,$M21,$Q21,$U21)&gt;=2,(COUNTIF($E21,"Extra")+COUNTIF($I21,"Extra")+COUNTIF($M21,"Extra")+COUNTIF($Q21,"Extra")+COUNTIF($U21,"Extra")+COUNTIF($E21,"Premium")+COUNTIF($I21,"Premium")+COUNTIF($M21,"Premium")+COUNTIF($Q21,"Premium")+COUNTIF($U21,"Premium"))&gt;0),Lookup!$B$4,0),IFERROR(VLOOKUP(U21,Lookup!$A$2:$B$5,2,FALSE),0))))+IF(AND(V21=TRUE,NOT((COUNTIF($E21,"Senior")+COUNTIF($I21,"Senior")+COUNTIF($M21,"Senior")+COUNTIF($Q21,"Senior")+COUNTIF($U21,"Senior"))&gt;0)),Lookup!$B$6,0)+IF(W21=TRUE,Lookup!$B$7,0))</f>
        <v/>
      </c>
      <c r="Y21" s="10"/>
      <c r="Z21" s="26">
        <f>IFERROR(VLOOKUP(Y21,Lookup!$A$9:$B$12,2,FALSE),0)</f>
        <v>0</v>
      </c>
      <c r="AA21" s="20">
        <f>SUM(H21,L21,P21,T21,X21,Z21)</f>
        <v>0</v>
      </c>
      <c r="AB21" s="13"/>
      <c r="AC21" s="19">
        <f>IFERROR(AA21*AB21,0)</f>
        <v>0</v>
      </c>
      <c r="AD21" s="22">
        <f>IFERROR(AA21*(1-AB21),0)</f>
        <v>0</v>
      </c>
      <c r="AE21" s="10"/>
    </row>
    <row r="22" spans="1:31" ht="18" customHeight="1" x14ac:dyDescent="0.3">
      <c r="A22" s="14"/>
      <c r="B22" s="14"/>
      <c r="C22" s="14"/>
      <c r="D22" s="11"/>
      <c r="E22" s="15"/>
      <c r="F22" s="16" t="b">
        <v>0</v>
      </c>
      <c r="G22" s="16" t="b">
        <v>0</v>
      </c>
      <c r="H22" s="19" t="str">
        <f>IF(E22="","",IF(E22="",0,IF((COUNTIF($E22,"Senior")+COUNTIF($I22,"Senior")+COUNTIF($M22,"Senior")+COUNTIF($Q22,"Senior")+COUNTIF($U22,"Senior"))&gt;0,Lookup!$B$5,IF(E22="Value",IF(AND(COUNTA($E22,$I22,$M22,$Q22,$U22)&gt;=2,(COUNTIF($E22,"Extra")+COUNTIF($I22,"Extra")+COUNTIF($M22,"Extra")+COUNTIF($Q22,"Extra")+COUNTIF($U22,"Extra")+COUNTIF($E22,"Premium")+COUNTIF($I22,"Premium")+COUNTIF($M22,"Premium")+COUNTIF($Q22,"Premium")+COUNTIF($U22,"Premium"))&gt;0),Lookup!$B$4,0),IFERROR(VLOOKUP(E22,Lookup!$A$2:$B$5,2,FALSE),0))))+IF(AND(F22=TRUE,NOT((COUNTIF($E22,"Senior")+COUNTIF($I22,"Senior")+COUNTIF($M22,"Senior")+COUNTIF($Q22,"Senior")+COUNTIF($U22,"Senior"))&gt;0)),Lookup!$B$6,0)+IF(G22=TRUE,Lookup!$B$7,0))</f>
        <v/>
      </c>
      <c r="I22" s="15"/>
      <c r="J22" s="16" t="b">
        <v>0</v>
      </c>
      <c r="K22" s="16" t="b">
        <v>0</v>
      </c>
      <c r="L22" s="19" t="str">
        <f>IF(I22="","",IF(I22="",0,IF((COUNTIF($E22,"Senior")+COUNTIF($I22,"Senior")+COUNTIF($M22,"Senior")+COUNTIF($Q22,"Senior")+COUNTIF($U22,"Senior"))&gt;0,Lookup!$B$5,IF(I22="Value",IF(AND(COUNTA($E22,$I22,$M22,$Q22,$U22)&gt;=2,(COUNTIF($E22,"Extra")+COUNTIF($I22,"Extra")+COUNTIF($M22,"Extra")+COUNTIF($Q22,"Extra")+COUNTIF($U22,"Extra")+COUNTIF($E22,"Premium")+COUNTIF($I22,"Premium")+COUNTIF($M22,"Premium")+COUNTIF($Q22,"Premium")+COUNTIF($U22,"Premium"))&gt;0),Lookup!$B$4,0),IFERROR(VLOOKUP(I22,Lookup!$A$2:$B$5,2,FALSE),0))))+IF(AND(J22=TRUE,NOT((COUNTIF($E22,"Senior")+COUNTIF($I22,"Senior")+COUNTIF($M22,"Senior")+COUNTIF($Q22,"Senior")+COUNTIF($U22,"Senior"))&gt;0)),Lookup!$B$6,0)+IF(K22=TRUE,Lookup!$B$7,0))</f>
        <v/>
      </c>
      <c r="M22" s="15"/>
      <c r="N22" s="16" t="b">
        <v>0</v>
      </c>
      <c r="O22" s="16" t="b">
        <v>0</v>
      </c>
      <c r="P22" s="19" t="str">
        <f>IF(M22="","",IF(M22="",0,IF((COUNTIF($E22,"Senior")+COUNTIF($I22,"Senior")+COUNTIF($M22,"Senior")+COUNTIF($Q22,"Senior")+COUNTIF($U22,"Senior"))&gt;0,Lookup!$B$5,IF(M22="Value",IF(AND(COUNTA($E22,$I22,$M22,$Q22,$U22)&gt;=2,(COUNTIF($E22,"Extra")+COUNTIF($I22,"Extra")+COUNTIF($M22,"Extra")+COUNTIF($Q22,"Extra")+COUNTIF($U22,"Extra")+COUNTIF($E22,"Premium")+COUNTIF($I22,"Premium")+COUNTIF($M22,"Premium")+COUNTIF($Q22,"Premium")+COUNTIF($U22,"Premium"))&gt;0),Lookup!$B$4,0),IFERROR(VLOOKUP(M22,Lookup!$A$2:$B$5,2,FALSE),0))))+IF(AND(N22=TRUE,NOT((COUNTIF($E22,"Senior")+COUNTIF($I22,"Senior")+COUNTIF($M22,"Senior")+COUNTIF($Q22,"Senior")+COUNTIF($U22,"Senior"))&gt;0)),Lookup!$B$6,0)+IF(O22=TRUE,Lookup!$B$7,0))</f>
        <v/>
      </c>
      <c r="Q22" s="15"/>
      <c r="R22" s="16" t="b">
        <v>0</v>
      </c>
      <c r="S22" s="16" t="b">
        <v>0</v>
      </c>
      <c r="T22" s="19" t="str">
        <f>IF(Q22="","",IF(Q22="",0,IF((COUNTIF($E22,"Senior")+COUNTIF($I22,"Senior")+COUNTIF($M22,"Senior")+COUNTIF($Q22,"Senior")+COUNTIF($U22,"Senior"))&gt;0,Lookup!$B$5,IF(Q22="Value",IF(AND(COUNTA($E22,$I22,$M22,$Q22,$U22)&gt;=2,(COUNTIF($E22,"Extra")+COUNTIF($I22,"Extra")+COUNTIF($M22,"Extra")+COUNTIF($Q22,"Extra")+COUNTIF($U22,"Extra")+COUNTIF($E22,"Premium")+COUNTIF($I22,"Premium")+COUNTIF($M22,"Premium")+COUNTIF($Q22,"Premium")+COUNTIF($U22,"Premium"))&gt;0),Lookup!$B$4,0),IFERROR(VLOOKUP(Q22,Lookup!$A$2:$B$5,2,FALSE),0))))+IF(AND(R22=TRUE,NOT((COUNTIF($E22,"Senior")+COUNTIF($I22,"Senior")+COUNTIF($M22,"Senior")+COUNTIF($Q22,"Senior")+COUNTIF($U22,"Senior"))&gt;0)),Lookup!$B$6,0)+IF(S22=TRUE,Lookup!$B$7,0))</f>
        <v/>
      </c>
      <c r="U22" s="15"/>
      <c r="V22" s="16" t="b">
        <v>0</v>
      </c>
      <c r="W22" s="16" t="b">
        <v>0</v>
      </c>
      <c r="X22" s="19" t="str">
        <f>IF(U22="","",IF(U22="",0,IF((COUNTIF($E22,"Senior")+COUNTIF($I22,"Senior")+COUNTIF($M22,"Senior")+COUNTIF($Q22,"Senior")+COUNTIF($U22,"Senior"))&gt;0,Lookup!$B$5,IF(U22="Value",IF(AND(COUNTA($E22,$I22,$M22,$Q22,$U22)&gt;=2,(COUNTIF($E22,"Extra")+COUNTIF($I22,"Extra")+COUNTIF($M22,"Extra")+COUNTIF($Q22,"Extra")+COUNTIF($U22,"Extra")+COUNTIF($E22,"Premium")+COUNTIF($I22,"Premium")+COUNTIF($M22,"Premium")+COUNTIF($Q22,"Premium")+COUNTIF($U22,"Premium"))&gt;0),Lookup!$B$4,0),IFERROR(VLOOKUP(U22,Lookup!$A$2:$B$5,2,FALSE),0))))+IF(AND(V22=TRUE,NOT((COUNTIF($E22,"Senior")+COUNTIF($I22,"Senior")+COUNTIF($M22,"Senior")+COUNTIF($Q22,"Senior")+COUNTIF($U22,"Senior"))&gt;0)),Lookup!$B$6,0)+IF(W22=TRUE,Lookup!$B$7,0))</f>
        <v/>
      </c>
      <c r="Y22" s="14"/>
      <c r="Z22" s="27">
        <f>IFERROR(VLOOKUP(Y22,Lookup!$A$9:$B$12,2,FALSE),0)</f>
        <v>0</v>
      </c>
      <c r="AA22" s="21">
        <f>SUM(H22,L22,P22,T22,X22,Z22)</f>
        <v>0</v>
      </c>
      <c r="AB22" s="13"/>
      <c r="AC22" s="19">
        <f>IFERROR(AA22*AB22,0)</f>
        <v>0</v>
      </c>
      <c r="AD22" s="22">
        <f>IFERROR(AA22*(1-AB22),0)</f>
        <v>0</v>
      </c>
      <c r="AE22" s="14"/>
    </row>
  </sheetData>
  <mergeCells count="7">
    <mergeCell ref="U1:X1"/>
    <mergeCell ref="AA1:AD1"/>
    <mergeCell ref="A1:D1"/>
    <mergeCell ref="E1:H1"/>
    <mergeCell ref="I1:L1"/>
    <mergeCell ref="M1:P1"/>
    <mergeCell ref="Q1:T1"/>
  </mergeCells>
  <dataValidations count="5">
    <dataValidation type="list" allowBlank="1" showInputMessage="1" showErrorMessage="1" sqref="D3:D22" xr:uid="{DBFA6F45-AC27-4C36-9CB8-D3AE98CFFE57}">
      <formula1>"Pending,Activated,Satisfied,Needs Help,Cancelled"</formula1>
    </dataValidation>
    <dataValidation type="list" allowBlank="1" showInputMessage="1" showErrorMessage="1" errorTitle="Invalid Plan" error="Please select: Extra, Premium, Senior, Value" sqref="E3:E22" xr:uid="{B133EFEC-9721-46D3-B85F-2A7DF3D0A311}">
      <formula1>"Extra,Premium,Senior,Value"</formula1>
    </dataValidation>
    <dataValidation type="custom" allowBlank="1" showInputMessage="1" showErrorMessage="1" errorTitle="Next Up not allowed" error="Senior plans cannot have Next Up." sqref="F3:F22 V3:V22 R3:R22 N3:N22 J3:J22" xr:uid="{CCC39DAD-CB03-443D-89E1-52572500C4EE}">
      <formula1>OR(F3=FALSE,NOT((COUNTIF($E3,"Senior")+COUNTIF($I3,"Senior")+COUNTIF($M3,"Senior")+COUNTIF($Q3,"Senior")+COUNTIF($U3,"Senior"))&gt;0))</formula1>
    </dataValidation>
    <dataValidation type="list" allowBlank="1" showInputMessage="1" showErrorMessage="1" sqref="Z3:Z22 Y3:Y22" xr:uid="{34189616-1557-4F21-A434-579D177B9FDE}">
      <formula1>"100 Mbps,300 Mbps,500 Mbps,1Gb"</formula1>
    </dataValidation>
    <dataValidation type="list" allowBlank="1" showInputMessage="1" showErrorMessage="1" sqref="AB3:AB22" xr:uid="{09DD553A-4BA1-4305-8A53-2C411BC99941}">
      <formula1>"70%,60%,50%,40%,30%"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n" error="If Line 1 is Senior, only Senior. Otherwise no Senior." xr:uid="{A8D8E13E-B2DF-4B9E-917D-252C1528A705}">
          <x14:formula1>
            <xm:f>IF($E3="Senior",Lookup!$E$2:$E$2,IF($E3="",Lookup!$D$2:$D$5,Lookup!$F$2:$F$4))</xm:f>
          </x14:formula1>
          <xm:sqref>I3:I22 U3:U22 Q3:Q22 M3:M22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/>
  </sheetViews>
  <sheetFormatPr defaultColWidth="8.6640625" defaultRowHeight="14.4" x14ac:dyDescent="0.3"/>
  <sheetData>
    <row r="1" spans="1:6" ht="15" customHeight="1" x14ac:dyDescent="0.3">
      <c r="A1" s="17" t="s">
        <v>13</v>
      </c>
      <c r="B1" s="17" t="s">
        <v>20</v>
      </c>
      <c r="D1" s="23" t="s">
        <v>33</v>
      </c>
      <c r="E1" s="23" t="s">
        <v>34</v>
      </c>
      <c r="F1" s="23" t="s">
        <v>35</v>
      </c>
    </row>
    <row r="2" spans="1:6" ht="15" customHeight="1" x14ac:dyDescent="0.3">
      <c r="A2" t="s">
        <v>21</v>
      </c>
      <c r="B2" s="18">
        <v>95</v>
      </c>
      <c r="D2" t="s">
        <v>21</v>
      </c>
      <c r="E2" t="s">
        <v>24</v>
      </c>
      <c r="F2" t="s">
        <v>21</v>
      </c>
    </row>
    <row r="3" spans="1:6" ht="15" customHeight="1" x14ac:dyDescent="0.3">
      <c r="A3" t="s">
        <v>22</v>
      </c>
      <c r="B3" s="18">
        <v>105</v>
      </c>
      <c r="D3" t="s">
        <v>22</v>
      </c>
      <c r="F3" t="s">
        <v>22</v>
      </c>
    </row>
    <row r="4" spans="1:6" ht="15" customHeight="1" x14ac:dyDescent="0.3">
      <c r="A4" t="s">
        <v>23</v>
      </c>
      <c r="B4" s="18">
        <v>50</v>
      </c>
      <c r="D4" t="s">
        <v>24</v>
      </c>
      <c r="F4" t="s">
        <v>23</v>
      </c>
    </row>
    <row r="5" spans="1:6" ht="15" customHeight="1" x14ac:dyDescent="0.3">
      <c r="A5" t="s">
        <v>24</v>
      </c>
      <c r="B5" s="18">
        <v>95</v>
      </c>
      <c r="D5" t="s">
        <v>23</v>
      </c>
    </row>
    <row r="6" spans="1:6" x14ac:dyDescent="0.3">
      <c r="A6" t="s">
        <v>27</v>
      </c>
      <c r="B6" s="18">
        <v>10</v>
      </c>
    </row>
    <row r="7" spans="1:6" x14ac:dyDescent="0.3">
      <c r="A7" t="s">
        <v>38</v>
      </c>
      <c r="B7" s="18">
        <v>7</v>
      </c>
    </row>
    <row r="8" spans="1:6" x14ac:dyDescent="0.3">
      <c r="A8" s="17" t="s">
        <v>28</v>
      </c>
      <c r="B8" s="17" t="s">
        <v>20</v>
      </c>
    </row>
    <row r="9" spans="1:6" x14ac:dyDescent="0.3">
      <c r="A9" t="s">
        <v>29</v>
      </c>
      <c r="B9" s="18">
        <v>135</v>
      </c>
    </row>
    <row r="10" spans="1:6" x14ac:dyDescent="0.3">
      <c r="A10" t="s">
        <v>30</v>
      </c>
      <c r="B10" s="18">
        <v>145</v>
      </c>
    </row>
    <row r="11" spans="1:6" x14ac:dyDescent="0.3">
      <c r="A11" t="s">
        <v>31</v>
      </c>
      <c r="B11" s="18">
        <v>155</v>
      </c>
    </row>
    <row r="12" spans="1:6" x14ac:dyDescent="0.3">
      <c r="A12" t="s">
        <v>32</v>
      </c>
      <c r="B12" s="18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Tracker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Thomas Jacob</cp:lastModifiedBy>
  <cp:revision>0</cp:revision>
  <dcterms:created xsi:type="dcterms:W3CDTF">2026-05-09T04:32:47Z</dcterms:created>
  <dcterms:modified xsi:type="dcterms:W3CDTF">2026-05-09T05:11:58Z</dcterms:modified>
  <dc:language>en-US</dc:language>
</cp:coreProperties>
</file>